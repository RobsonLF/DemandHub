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_Robson\RLDF\Devs\Projetos Git\DemandHub\"/>
    </mc:Choice>
  </mc:AlternateContent>
  <xr:revisionPtr revIDLastSave="0" documentId="13_ncr:1_{E3C96FD3-E3DA-4B7A-A2BD-DE2AAAA784ED}" xr6:coauthVersionLast="47" xr6:coauthVersionMax="47" xr10:uidLastSave="{00000000-0000-0000-0000-000000000000}"/>
  <bookViews>
    <workbookView xWindow="-23148" yWindow="-108" windowWidth="23256" windowHeight="12456" activeTab="4" xr2:uid="{A43337B0-A907-4ADB-874E-8ED1B71A3EB2}"/>
  </bookViews>
  <sheets>
    <sheet name="Dashboard" sheetId="1" r:id="rId1"/>
    <sheet name="Demands" sheetId="2" r:id="rId2"/>
    <sheet name="Support" sheetId="7" r:id="rId3"/>
    <sheet name="Mrks" sheetId="3" r:id="rId4"/>
    <sheet name="Customers" sheetId="4" r:id="rId5"/>
    <sheet name="Hours" sheetId="5" r:id="rId6"/>
    <sheet name="Segment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6" l="1"/>
  <c r="K14" i="6"/>
</calcChain>
</file>

<file path=xl/sharedStrings.xml><?xml version="1.0" encoding="utf-8"?>
<sst xmlns="http://schemas.openxmlformats.org/spreadsheetml/2006/main" count="295" uniqueCount="217">
  <si>
    <t>code</t>
  </si>
  <si>
    <t>description</t>
  </si>
  <si>
    <t>Opportunity</t>
  </si>
  <si>
    <t>date</t>
  </si>
  <si>
    <t>hours</t>
  </si>
  <si>
    <t>city</t>
  </si>
  <si>
    <t>country</t>
  </si>
  <si>
    <t>code segment</t>
  </si>
  <si>
    <t>mrk_code</t>
  </si>
  <si>
    <t>customer_code</t>
  </si>
  <si>
    <t>est_hours</t>
  </si>
  <si>
    <t>started_date</t>
  </si>
  <si>
    <t>est_delivery_date</t>
  </si>
  <si>
    <t>real_delivery_date</t>
  </si>
  <si>
    <t>type</t>
  </si>
  <si>
    <t>status</t>
  </si>
  <si>
    <t>worked_hours</t>
  </si>
  <si>
    <t>segment_code</t>
  </si>
  <si>
    <t>notes</t>
  </si>
  <si>
    <t>NEW</t>
  </si>
  <si>
    <t>TYPE</t>
  </si>
  <si>
    <t>STATUS</t>
  </si>
  <si>
    <t>DESAPPROVAL</t>
  </si>
  <si>
    <t>CHECK</t>
  </si>
  <si>
    <t>NO STARTED</t>
  </si>
  <si>
    <t>IN PROGRESS</t>
  </si>
  <si>
    <t>FINISHED</t>
  </si>
  <si>
    <t>id</t>
  </si>
  <si>
    <t>STEEL</t>
  </si>
  <si>
    <t>FERROUS FOUNDRIES</t>
  </si>
  <si>
    <t>COPPER &amp; NICKEL</t>
  </si>
  <si>
    <t>FERRO NICKEL</t>
  </si>
  <si>
    <t>CEMENT</t>
  </si>
  <si>
    <t>OIL REFINERIES</t>
  </si>
  <si>
    <t>CHEM/PETROCH/OTH. UEC</t>
  </si>
  <si>
    <t>OTHER INDUSTRIES</t>
  </si>
  <si>
    <t>LIME</t>
  </si>
  <si>
    <t>ALUMINIUM PRIMARY</t>
  </si>
  <si>
    <t>FUNACE CERAMICS IND.</t>
  </si>
  <si>
    <t>PIERCE SMITH CONVERTER | ROTATING + CONVERTING</t>
  </si>
  <si>
    <t>SHORT ROTARY FURNACE | ROTATING + REDUCTION</t>
  </si>
  <si>
    <t>EAF</t>
  </si>
  <si>
    <t>GERDAU MACSTEEL MONROE</t>
  </si>
  <si>
    <t>MONROE</t>
  </si>
  <si>
    <t>USA</t>
  </si>
  <si>
    <t>Please use the drawing 20260119_CS131101-A00R attached to the files and create the following study
Calculate the hot heel volume in nt of the furnace with the angles from 
from +12 degrees to -2 degrees</t>
  </si>
  <si>
    <t>VER</t>
  </si>
  <si>
    <t>A00R</t>
  </si>
  <si>
    <t>ACERIA DEL ECUADOR C.A.</t>
  </si>
  <si>
    <t>QUITO</t>
  </si>
  <si>
    <t>ECUADOR</t>
  </si>
  <si>
    <t>ACINDAR INDUSTRIA ARGENTINA</t>
  </si>
  <si>
    <t>VILLA CONSTITUCIÓN</t>
  </si>
  <si>
    <t>ARGENTINA</t>
  </si>
  <si>
    <t>AÇO VERDE DO BRASIL S.A.</t>
  </si>
  <si>
    <t>AÇAILANDIA</t>
  </si>
  <si>
    <t>BRAZIL</t>
  </si>
  <si>
    <t>ALLEIMA TUBE AB</t>
  </si>
  <si>
    <t>SANDVIKEN</t>
  </si>
  <si>
    <t>SWEDEN</t>
  </si>
  <si>
    <t>ANGLO AMERICAN NIQUEL BRASIL LTDA</t>
  </si>
  <si>
    <t>BARRO ALTO</t>
  </si>
  <si>
    <t>ARCELORMITTAL BRASIL S.A. - JOÃO MONLEVADE</t>
  </si>
  <si>
    <t>JOÃO MONLEVADE</t>
  </si>
  <si>
    <t>ARCELORMITTAL BRASIL S.A. - SERRA</t>
  </si>
  <si>
    <t>SERRA</t>
  </si>
  <si>
    <t>ARCELORMITTAL DOFASCO G.P.</t>
  </si>
  <si>
    <t>HAMILTON</t>
  </si>
  <si>
    <t>CANADA</t>
  </si>
  <si>
    <t>ARCELORMITTAL PECÉM S.A.</t>
  </si>
  <si>
    <t>SÃO GONÇALO DO AMARANTE</t>
  </si>
  <si>
    <t>ASF-K DE MEXICO</t>
  </si>
  <si>
    <t>TEPEAPULCO</t>
  </si>
  <si>
    <t>MEXICO</t>
  </si>
  <si>
    <t>BMM ISPAT LTD.</t>
  </si>
  <si>
    <t>BELLARY</t>
  </si>
  <si>
    <t>INDIA</t>
  </si>
  <si>
    <t>BRADKEN PERU SAC</t>
  </si>
  <si>
    <t>LIMA</t>
  </si>
  <si>
    <t>PERU</t>
  </si>
  <si>
    <t>CATERPILLAR RAMOS ARIZPE</t>
  </si>
  <si>
    <t>RAMOS ARIZPE</t>
  </si>
  <si>
    <t>CELULOSA ARAUCO Y CONSTITUICION S.A.</t>
  </si>
  <si>
    <t>VALDIVIA</t>
  </si>
  <si>
    <t>CHILE</t>
  </si>
  <si>
    <t>CHARTER MANUFACTURING COMPANY INC</t>
  </si>
  <si>
    <t>SAUKVILLE</t>
  </si>
  <si>
    <t>CIA INDUSTRIAL DE CIMENTO APODI</t>
  </si>
  <si>
    <t>QUIXERE</t>
  </si>
  <si>
    <t>CIPLAN CIMENTO PLANALTO S.A.</t>
  </si>
  <si>
    <t>SOBRADINHO</t>
  </si>
  <si>
    <t>CISAM SIDERURGIA S.A.</t>
  </si>
  <si>
    <t>PARA DE MINAS</t>
  </si>
  <si>
    <t>CLEVELAND-CLIFFS CLEVELAND WORKS</t>
  </si>
  <si>
    <t>CLEVELAND</t>
  </si>
  <si>
    <t>COMMERCIAL METALS COMPANY</t>
  </si>
  <si>
    <t>TEXAS - SEGUIN</t>
  </si>
  <si>
    <t>COMPLEJO METALURGICO ALTONORTE SA</t>
  </si>
  <si>
    <t>ANTOFAGASTA</t>
  </si>
  <si>
    <t>CONSORCIO DE ALUMÍNIO DO MARANHÃO</t>
  </si>
  <si>
    <t>SÃO LUIS</t>
  </si>
  <si>
    <t>CORPORACIÓN ACEROS AREQUIPA S.A.</t>
  </si>
  <si>
    <t>PISCO ICA</t>
  </si>
  <si>
    <t>DIACO S.A.</t>
  </si>
  <si>
    <t>TUTA</t>
  </si>
  <si>
    <t>COLOMBIA</t>
  </si>
  <si>
    <t>EL MARAKBY STEEL</t>
  </si>
  <si>
    <t>6TH OF OCTOBER CITY</t>
  </si>
  <si>
    <t>EGYPT</t>
  </si>
  <si>
    <t>ELETROCAL INDUSTRIA E COMÉRCIO DE MATERIAIS ELÉTRICOS LTDA</t>
  </si>
  <si>
    <t>NOVA ANDRADINA</t>
  </si>
  <si>
    <t>EMPRESA DE CIMENTOS LIZ S.A.</t>
  </si>
  <si>
    <t>VESPASIANO</t>
  </si>
  <si>
    <t>ENFI ENGINEERING CORPORATION</t>
  </si>
  <si>
    <t>BEIJING</t>
  </si>
  <si>
    <t>CHINA</t>
  </si>
  <si>
    <t>ESCO ELECMETAL FUNDICION LTDA</t>
  </si>
  <si>
    <t>SANTIAGO</t>
  </si>
  <si>
    <t>ESCO LTD.</t>
  </si>
  <si>
    <t>PORT COQUITLAM</t>
  </si>
  <si>
    <t>FUNDIÇÃO MORENO LTDA</t>
  </si>
  <si>
    <t>SERTÃOZINHO</t>
  </si>
  <si>
    <t>GERDAU AÇOMINAS S.A.</t>
  </si>
  <si>
    <t>OURO BRANCO</t>
  </si>
  <si>
    <t>GERDAU CHARLOTTE</t>
  </si>
  <si>
    <t>CHARLOTTE</t>
  </si>
  <si>
    <t>GERDAU CORSA SAPI DE CV</t>
  </si>
  <si>
    <t>GLENCORE CANADA CORP.</t>
  </si>
  <si>
    <t>MONTREAL EST.</t>
  </si>
  <si>
    <t>HOGANAS BRASIL LTDA</t>
  </si>
  <si>
    <t>MOGI DAS CRUZES</t>
  </si>
  <si>
    <t>HUNTINGTON ALLOYS CORPORATION</t>
  </si>
  <si>
    <t>HUNTINGTON</t>
  </si>
  <si>
    <t>IMPACTA SA INDUSTRIA E COMERCIO</t>
  </si>
  <si>
    <t>CAJAMAR</t>
  </si>
  <si>
    <t>IPSCO KOPPEL TUBULARES LLC</t>
  </si>
  <si>
    <t>KOPPEL</t>
  </si>
  <si>
    <t>IVACO ROLLING MILLS 2004 L.P.</t>
  </si>
  <si>
    <t>L'ORIGNAL</t>
  </si>
  <si>
    <t>JINDAL STAINLESS LTD.</t>
  </si>
  <si>
    <t>JAJPUR/ORISSA</t>
  </si>
  <si>
    <t>JSC TAGMET</t>
  </si>
  <si>
    <t>TAGANROG</t>
  </si>
  <si>
    <t>RUSSIA</t>
  </si>
  <si>
    <t>JT THORPE &amp; SON INC.</t>
  </si>
  <si>
    <t>PENNSYLVANIA</t>
  </si>
  <si>
    <t>METSO BRASIL INDUSTRIA</t>
  </si>
  <si>
    <t>SOROCABA</t>
  </si>
  <si>
    <t>MINERAÇÃO ONÇA PUMA SA</t>
  </si>
  <si>
    <t>OURILANDIA DO NORTE</t>
  </si>
  <si>
    <t>MOSAIC FERTILIZANTES P&amp;K LTDA</t>
  </si>
  <si>
    <t>ARAXA</t>
  </si>
  <si>
    <t>NOVELIS DO BRASIL LTDA</t>
  </si>
  <si>
    <t>PINDAMONHANGABA</t>
  </si>
  <si>
    <t>NUCOR STEEL FLORIDA INC</t>
  </si>
  <si>
    <t>FROSTPROOF</t>
  </si>
  <si>
    <t>NUCOR STEEL SEDALIA LLC</t>
  </si>
  <si>
    <t>SEDALIA</t>
  </si>
  <si>
    <t>OPTIMUS STEEL LLC</t>
  </si>
  <si>
    <t>VIDOR</t>
  </si>
  <si>
    <t>CIA DE FERRO LIGAS DA BAHIA - FERBASA</t>
  </si>
  <si>
    <t>POJUCA</t>
  </si>
  <si>
    <t>MINERAÇÃO BELOCAL LTDA</t>
  </si>
  <si>
    <t>LIMEIRA</t>
  </si>
  <si>
    <t>BAUTEK MINERAIS INDUSTRIAIS LTDA</t>
  </si>
  <si>
    <t>CALDAS</t>
  </si>
  <si>
    <t>CAL NORTE NORDESTE S/A</t>
  </si>
  <si>
    <t>BARAUNA</t>
  </si>
  <si>
    <t>DEDINI S/A INDUSTRIAS DE BASE</t>
  </si>
  <si>
    <t>PIRACICABA</t>
  </si>
  <si>
    <t>WINOA BRASIL INDUSTRIA E COMERCIO</t>
  </si>
  <si>
    <t>JACAREI</t>
  </si>
  <si>
    <t>IGNA LTDA</t>
  </si>
  <si>
    <t>SÃO PAULO</t>
  </si>
  <si>
    <t>MAGNESIUM DO BRASIL LTDA</t>
  </si>
  <si>
    <t>JUCAS</t>
  </si>
  <si>
    <t>TERNIUM MEXICO SA DE CV</t>
  </si>
  <si>
    <t>CUAUHTEMOC</t>
  </si>
  <si>
    <t>COMPANHIA BRASILEIRA DE METALURGIA E MINERACAO</t>
  </si>
  <si>
    <t>TERNIUM BRASIL LTDA</t>
  </si>
  <si>
    <t>RIO DE JANEIRO</t>
  </si>
  <si>
    <t>PLOMBERA S.A. DE C.V.</t>
  </si>
  <si>
    <t>SAN LUIS POTOSI</t>
  </si>
  <si>
    <t>JACKSONVILLE</t>
  </si>
  <si>
    <t>ARCELORMITTAL CALVERT LLC</t>
  </si>
  <si>
    <t>CALVERT</t>
  </si>
  <si>
    <t>ESCO GROUP LLC</t>
  </si>
  <si>
    <t>NEWTON</t>
  </si>
  <si>
    <t>SONASID</t>
  </si>
  <si>
    <t>CASABLANCA</t>
  </si>
  <si>
    <t>MAROCCO</t>
  </si>
  <si>
    <t>PEOPLES STEEL MILLS LTD.</t>
  </si>
  <si>
    <t>KARACHI</t>
  </si>
  <si>
    <t>PAKISTAN</t>
  </si>
  <si>
    <t>APERAM INOX AMERICA DO SUL S.A.</t>
  </si>
  <si>
    <t>TIMOTEO</t>
  </si>
  <si>
    <t>GERDAU CARTERSVILLE</t>
  </si>
  <si>
    <t>CARTERSVILLE</t>
  </si>
  <si>
    <t>MINUSA INDUSTRIAS MECANICAS SA</t>
  </si>
  <si>
    <t>LAGES</t>
  </si>
  <si>
    <t>COORPORATIVO METALURGICO INTERNACIONAL</t>
  </si>
  <si>
    <t>GUADALAJARA</t>
  </si>
  <si>
    <t>COMPANHIA SIDERURGICA NACIONAL SA</t>
  </si>
  <si>
    <t>VOLTA REDONDA</t>
  </si>
  <si>
    <t>ALUMAR ALUMINIO ARGENTINO</t>
  </si>
  <si>
    <t>VICTORIA</t>
  </si>
  <si>
    <t>NEXA RECURSOS MINERAIS S.A.</t>
  </si>
  <si>
    <t>JUIZ DE FORA</t>
  </si>
  <si>
    <t>ARCELORMITTAL LONG PRODUCTS CANADA</t>
  </si>
  <si>
    <t>CONTRECOEUR</t>
  </si>
  <si>
    <t>GERDAU AÇOS LONGOS S.A.</t>
  </si>
  <si>
    <t>SAPUCAIA DO SUL</t>
  </si>
  <si>
    <t>SIDERCA S.A.I.C.</t>
  </si>
  <si>
    <t>BUENOS AIRES</t>
  </si>
  <si>
    <t>VOITH HYDRO LTDA</t>
  </si>
  <si>
    <t>opportunity</t>
  </si>
  <si>
    <t>EAF -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</si>
</sst>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Biome Light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4" fontId="2" fillId="0" borderId="0" xfId="0" applyNumberFormat="1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</dxfs>
  <tableStyles count="0" defaultTableStyle="TableStyleMedium2" defaultPivotStyle="PivotStyleLight16"/>
  <colors>
    <mruColors>
      <color rgb="FFE1E3E4"/>
      <color rgb="FF0452A1"/>
      <color rgb="FFF0F1F2"/>
      <color rgb="FF0654A5"/>
      <color rgb="FFD9DADB"/>
      <color rgb="FFFFFFFF"/>
      <color rgb="FFD6E3FF"/>
      <color rgb="FF98F4E3"/>
      <color rgb="FF007366"/>
      <color rgb="FF93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9525</xdr:rowOff>
    </xdr:from>
    <xdr:to>
      <xdr:col>6</xdr:col>
      <xdr:colOff>123825</xdr:colOff>
      <xdr:row>17</xdr:row>
      <xdr:rowOff>161925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D014A65-74C4-6B62-C1D0-1467D5676C5C}"/>
            </a:ext>
          </a:extLst>
        </xdr:cNvPr>
        <xdr:cNvGrpSpPr/>
      </xdr:nvGrpSpPr>
      <xdr:grpSpPr>
        <a:xfrm>
          <a:off x="619125" y="1533525"/>
          <a:ext cx="3162300" cy="1866900"/>
          <a:chOff x="2762250" y="2447925"/>
          <a:chExt cx="3162300" cy="18669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5FEC898-7D7C-8F15-DCF0-D3CF3FDFF5DD}"/>
              </a:ext>
            </a:extLst>
          </xdr:cNvPr>
          <xdr:cNvSpPr/>
        </xdr:nvSpPr>
        <xdr:spPr>
          <a:xfrm>
            <a:off x="2762250" y="24479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E1E3E4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742896BA-D9EF-8EC5-AF9D-33F85E2943F3}"/>
              </a:ext>
            </a:extLst>
          </xdr:cNvPr>
          <xdr:cNvSpPr/>
        </xdr:nvSpPr>
        <xdr:spPr>
          <a:xfrm>
            <a:off x="4490595" y="2781300"/>
            <a:ext cx="1168057" cy="247651"/>
          </a:xfrm>
          <a:prstGeom prst="roundRect">
            <a:avLst/>
          </a:prstGeom>
          <a:solidFill>
            <a:srgbClr val="F4C3C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rgbClr val="93000A"/>
                </a:solidFill>
                <a:latin typeface="Bahnschrift" panose="020B0502040204020203" pitchFamily="34" charset="0"/>
                <a:cs typeface="Aharoni" panose="020F0502020204030204" pitchFamily="2" charset="-79"/>
              </a:rPr>
              <a:t>HIGH PRIORITY</a:t>
            </a:r>
          </a:p>
        </xdr:txBody>
      </xdr:sp>
      <xdr:sp macro="" textlink="$A$1">
        <xdr:nvSpPr>
          <xdr:cNvPr id="10" name="CaixaDeTexto 9">
            <a:extLst>
              <a:ext uri="{FF2B5EF4-FFF2-40B4-BE49-F238E27FC236}">
                <a16:creationId xmlns:a16="http://schemas.microsoft.com/office/drawing/2014/main" id="{ED055300-2BAC-E6FE-0B7A-6861AFBCE540}"/>
              </a:ext>
            </a:extLst>
          </xdr:cNvPr>
          <xdr:cNvSpPr txBox="1"/>
        </xdr:nvSpPr>
        <xdr:spPr>
          <a:xfrm>
            <a:off x="2828725" y="3219450"/>
            <a:ext cx="1047949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8BA2640-AC83-4DCA-982A-C49B0B6C5038}"/>
              </a:ext>
            </a:extLst>
          </xdr:cNvPr>
          <xdr:cNvSpPr txBox="1"/>
        </xdr:nvSpPr>
        <xdr:spPr>
          <a:xfrm>
            <a:off x="2866710" y="3743325"/>
            <a:ext cx="135286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r>
              <a:rPr lang="pt-BR" sz="1200" i="0" baseline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LATE</a:t>
            </a:r>
            <a:endParaRPr lang="pt-BR" sz="200" i="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32" name="Gráfico 31" descr="Cronômetro com preenchimento sólido">
            <a:extLst>
              <a:ext uri="{FF2B5EF4-FFF2-40B4-BE49-F238E27FC236}">
                <a16:creationId xmlns:a16="http://schemas.microsoft.com/office/drawing/2014/main" id="{3F731D64-5CD3-793E-1F46-C235B7399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38350" y="2690700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247650</xdr:colOff>
      <xdr:row>8</xdr:row>
      <xdr:rowOff>9525</xdr:rowOff>
    </xdr:from>
    <xdr:to>
      <xdr:col>20</xdr:col>
      <xdr:colOff>361950</xdr:colOff>
      <xdr:row>17</xdr:row>
      <xdr:rowOff>161925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F53308D9-640D-575A-D18B-83046EC37D54}"/>
            </a:ext>
          </a:extLst>
        </xdr:cNvPr>
        <xdr:cNvGrpSpPr/>
      </xdr:nvGrpSpPr>
      <xdr:grpSpPr>
        <a:xfrm>
          <a:off x="9391650" y="1533525"/>
          <a:ext cx="3162300" cy="1866900"/>
          <a:chOff x="2714625" y="4724400"/>
          <a:chExt cx="3162300" cy="1866900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FA6679B9-0D07-54BC-F237-A73BED610CCA}"/>
              </a:ext>
            </a:extLst>
          </xdr:cNvPr>
          <xdr:cNvSpPr/>
        </xdr:nvSpPr>
        <xdr:spPr>
          <a:xfrm>
            <a:off x="2714625" y="4724400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07366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Gráfico 25" descr="Seta de linha: girar para a direita com preenchimento sólido">
            <a:extLst>
              <a:ext uri="{FF2B5EF4-FFF2-40B4-BE49-F238E27FC236}">
                <a16:creationId xmlns:a16="http://schemas.microsoft.com/office/drawing/2014/main" id="{87B7C672-0380-C87B-ABEC-085061513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16975" y="4974375"/>
            <a:ext cx="399600" cy="399600"/>
          </a:xfrm>
          <a:prstGeom prst="rect">
            <a:avLst/>
          </a:prstGeom>
        </xdr:spPr>
      </xdr:pic>
      <xdr:sp macro="" textlink="$A$1">
        <xdr:nvSpPr>
          <xdr:cNvPr id="44" name="CaixaDeTexto 43">
            <a:extLst>
              <a:ext uri="{FF2B5EF4-FFF2-40B4-BE49-F238E27FC236}">
                <a16:creationId xmlns:a16="http://schemas.microsoft.com/office/drawing/2014/main" id="{A4EE2E13-27FF-597D-4A2A-61D14E263518}"/>
              </a:ext>
            </a:extLst>
          </xdr:cNvPr>
          <xdr:cNvSpPr txBox="1"/>
        </xdr:nvSpPr>
        <xdr:spPr>
          <a:xfrm>
            <a:off x="2781101" y="5495925"/>
            <a:ext cx="8860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0A08570-A990-3C73-88FF-432D48C921A0}"/>
              </a:ext>
            </a:extLst>
          </xdr:cNvPr>
          <xdr:cNvSpPr txBox="1"/>
        </xdr:nvSpPr>
        <xdr:spPr>
          <a:xfrm>
            <a:off x="2819085" y="6019800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i="0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IN PROGRESS</a:t>
            </a:r>
            <a:endParaRPr lang="pt-BR" sz="200" i="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" name="Fluxograma: Conector 47">
            <a:extLst>
              <a:ext uri="{FF2B5EF4-FFF2-40B4-BE49-F238E27FC236}">
                <a16:creationId xmlns:a16="http://schemas.microsoft.com/office/drawing/2014/main" id="{E2B99E59-2DB7-4FE7-A04D-F14D9849E8F2}"/>
              </a:ext>
            </a:extLst>
          </xdr:cNvPr>
          <xdr:cNvSpPr/>
        </xdr:nvSpPr>
        <xdr:spPr>
          <a:xfrm>
            <a:off x="5229225" y="4914900"/>
            <a:ext cx="228600" cy="228600"/>
          </a:xfrm>
          <a:prstGeom prst="flowChartConnector">
            <a:avLst/>
          </a:prstGeom>
          <a:solidFill>
            <a:srgbClr val="D9DADB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Fluxograma: Conector 46">
            <a:extLst>
              <a:ext uri="{FF2B5EF4-FFF2-40B4-BE49-F238E27FC236}">
                <a16:creationId xmlns:a16="http://schemas.microsoft.com/office/drawing/2014/main" id="{A2D9AE3B-584A-FB85-39BC-6EB6AD6D009C}"/>
              </a:ext>
            </a:extLst>
          </xdr:cNvPr>
          <xdr:cNvSpPr/>
        </xdr:nvSpPr>
        <xdr:spPr>
          <a:xfrm>
            <a:off x="5372100" y="4914900"/>
            <a:ext cx="228600" cy="228600"/>
          </a:xfrm>
          <a:prstGeom prst="flowChartConnector">
            <a:avLst/>
          </a:prstGeom>
          <a:solidFill>
            <a:srgbClr val="D6E3FF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22</xdr:col>
      <xdr:colOff>504825</xdr:colOff>
      <xdr:row>8</xdr:row>
      <xdr:rowOff>9525</xdr:rowOff>
    </xdr:from>
    <xdr:to>
      <xdr:col>28</xdr:col>
      <xdr:colOff>9525</xdr:colOff>
      <xdr:row>17</xdr:row>
      <xdr:rowOff>161925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D40D9B40-0975-7CE4-3DEF-F15815E2AE87}"/>
            </a:ext>
          </a:extLst>
        </xdr:cNvPr>
        <xdr:cNvGrpSpPr/>
      </xdr:nvGrpSpPr>
      <xdr:grpSpPr>
        <a:xfrm>
          <a:off x="13916025" y="1533525"/>
          <a:ext cx="3162300" cy="1866900"/>
          <a:chOff x="2819400" y="6410325"/>
          <a:chExt cx="3162300" cy="1866900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DA4942E-61A9-D6CC-2C59-0E83571D4EB1}"/>
              </a:ext>
            </a:extLst>
          </xdr:cNvPr>
          <xdr:cNvSpPr/>
        </xdr:nvSpPr>
        <xdr:spPr>
          <a:xfrm>
            <a:off x="2819400" y="64103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654A5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53" name="CaixaDeTexto 52">
            <a:extLst>
              <a:ext uri="{FF2B5EF4-FFF2-40B4-BE49-F238E27FC236}">
                <a16:creationId xmlns:a16="http://schemas.microsoft.com/office/drawing/2014/main" id="{295162C6-A1DF-F5F3-C77D-0D9B0E5F9398}"/>
              </a:ext>
            </a:extLst>
          </xdr:cNvPr>
          <xdr:cNvSpPr txBox="1"/>
        </xdr:nvSpPr>
        <xdr:spPr>
          <a:xfrm>
            <a:off x="2847776" y="716280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C82DCBC6-DCAA-2DFF-EE1C-F2B7E65B2EF5}"/>
              </a:ext>
            </a:extLst>
          </xdr:cNvPr>
          <xdr:cNvSpPr txBox="1"/>
        </xdr:nvSpPr>
        <xdr:spPr>
          <a:xfrm>
            <a:off x="2904810" y="768667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endParaRPr lang="pt-BR" sz="200" i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24" name="Gráfico 23" descr="Verificação da caixa de entrada com preenchimento sólido">
            <a:extLst>
              <a:ext uri="{FF2B5EF4-FFF2-40B4-BE49-F238E27FC236}">
                <a16:creationId xmlns:a16="http://schemas.microsoft.com/office/drawing/2014/main" id="{D8F1E810-C4B0-7A94-2D77-3FAB862B7D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7475" y="6634125"/>
            <a:ext cx="399600" cy="399600"/>
          </a:xfrm>
          <a:prstGeom prst="rect">
            <a:avLst/>
          </a:prstGeom>
        </xdr:spPr>
      </xdr:pic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19E7B29-A17D-4096-BCB3-A2D418A0A6D3}"/>
              </a:ext>
            </a:extLst>
          </xdr:cNvPr>
          <xdr:cNvSpPr txBox="1"/>
        </xdr:nvSpPr>
        <xdr:spPr>
          <a:xfrm>
            <a:off x="4591050" y="669607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00" i="0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t>-12% vs last month</a:t>
            </a:r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8</xdr:col>
      <xdr:colOff>171450</xdr:colOff>
      <xdr:row>8</xdr:row>
      <xdr:rowOff>9525</xdr:rowOff>
    </xdr:from>
    <xdr:to>
      <xdr:col>13</xdr:col>
      <xdr:colOff>285750</xdr:colOff>
      <xdr:row>17</xdr:row>
      <xdr:rowOff>161925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B9789FB-82D6-C8BC-A3AA-7DBE6AB6C376}"/>
            </a:ext>
          </a:extLst>
        </xdr:cNvPr>
        <xdr:cNvGrpSpPr/>
      </xdr:nvGrpSpPr>
      <xdr:grpSpPr>
        <a:xfrm>
          <a:off x="5048250" y="1533525"/>
          <a:ext cx="3162300" cy="1866900"/>
          <a:chOff x="6400800" y="4505325"/>
          <a:chExt cx="3162300" cy="186690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987AA9B6-D020-09C2-49F7-99D01102AC39}"/>
              </a:ext>
            </a:extLst>
          </xdr:cNvPr>
          <xdr:cNvSpPr/>
        </xdr:nvSpPr>
        <xdr:spPr>
          <a:xfrm>
            <a:off x="6400800" y="4505325"/>
            <a:ext cx="3162300" cy="1866900"/>
          </a:xfrm>
          <a:prstGeom prst="roundRect">
            <a:avLst>
              <a:gd name="adj" fmla="val 5442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7" name="CaixaDeTexto 6">
            <a:extLst>
              <a:ext uri="{FF2B5EF4-FFF2-40B4-BE49-F238E27FC236}">
                <a16:creationId xmlns:a16="http://schemas.microsoft.com/office/drawing/2014/main" id="{776E744C-1BC5-0AE1-95CB-FD121EA6918C}"/>
              </a:ext>
            </a:extLst>
          </xdr:cNvPr>
          <xdr:cNvSpPr txBox="1"/>
        </xdr:nvSpPr>
        <xdr:spPr>
          <a:xfrm>
            <a:off x="6448226" y="527685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C994E64-DBEE-0183-25FA-E7000488BE8D}"/>
              </a:ext>
            </a:extLst>
          </xdr:cNvPr>
          <xdr:cNvSpPr txBox="1"/>
        </xdr:nvSpPr>
        <xdr:spPr>
          <a:xfrm>
            <a:off x="6505260" y="580072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NO</a:t>
            </a:r>
            <a:r>
              <a:rPr lang="pt-BR" sz="1200" i="0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STARTED</a:t>
            </a:r>
          </a:p>
        </xdr:txBody>
      </xdr:sp>
      <xdr:sp macro="" textlink="$A$14">
        <xdr:nvSpPr>
          <xdr:cNvPr id="13" name="CaixaDeTexto 12">
            <a:extLst>
              <a:ext uri="{FF2B5EF4-FFF2-40B4-BE49-F238E27FC236}">
                <a16:creationId xmlns:a16="http://schemas.microsoft.com/office/drawing/2014/main" id="{61472B82-4D0E-CBD0-837E-11589E84DAB7}"/>
              </a:ext>
            </a:extLst>
          </xdr:cNvPr>
          <xdr:cNvSpPr txBox="1"/>
        </xdr:nvSpPr>
        <xdr:spPr>
          <a:xfrm>
            <a:off x="8191500" y="481012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9A0A2C2-6CA0-44FF-8A37-9071E98ECBBB}" type="TxLink">
              <a:rPr lang="en-US" sz="1050" b="0" i="0" u="none" strike="noStrike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pPr algn="l"/>
              <a:t> </a:t>
            </a:fld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15" name="Gráfico 14" descr="Pausar com preenchimento sólido">
            <a:extLst>
              <a:ext uri="{FF2B5EF4-FFF2-40B4-BE49-F238E27FC236}">
                <a16:creationId xmlns:a16="http://schemas.microsoft.com/office/drawing/2014/main" id="{C40CE70A-816B-DB13-FA98-B5DCB4B4E5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553200" y="4733925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</xdr:rowOff>
    </xdr:from>
    <xdr:to>
      <xdr:col>28</xdr:col>
      <xdr:colOff>581025</xdr:colOff>
      <xdr:row>6</xdr:row>
      <xdr:rowOff>123825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83757E4B-3FFC-D507-2B2C-4E07D7860206}"/>
            </a:ext>
          </a:extLst>
        </xdr:cNvPr>
        <xdr:cNvGrpSpPr/>
      </xdr:nvGrpSpPr>
      <xdr:grpSpPr>
        <a:xfrm>
          <a:off x="9525" y="9525"/>
          <a:ext cx="17640300" cy="1257300"/>
          <a:chOff x="561975" y="4267200"/>
          <a:chExt cx="17640300" cy="12573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5156995-1D81-1CAD-289F-7E4DB7512501}"/>
              </a:ext>
            </a:extLst>
          </xdr:cNvPr>
          <xdr:cNvSpPr/>
        </xdr:nvSpPr>
        <xdr:spPr>
          <a:xfrm>
            <a:off x="561975" y="4267200"/>
            <a:ext cx="17640300" cy="1257300"/>
          </a:xfrm>
          <a:prstGeom prst="rect">
            <a:avLst/>
          </a:prstGeom>
          <a:solidFill>
            <a:srgbClr val="F0F1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29598C65-29C5-0766-238E-3BEEC2687796}"/>
              </a:ext>
            </a:extLst>
          </xdr:cNvPr>
          <xdr:cNvCxnSpPr/>
        </xdr:nvCxnSpPr>
        <xdr:spPr>
          <a:xfrm>
            <a:off x="571500" y="4714875"/>
            <a:ext cx="17611725" cy="0"/>
          </a:xfrm>
          <a:prstGeom prst="line">
            <a:avLst/>
          </a:prstGeom>
          <a:ln w="6350">
            <a:solidFill>
              <a:srgbClr val="D9DADB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2EF4C0B-B89C-F914-FCD6-4FF791E6B4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9625" y="4316351"/>
            <a:ext cx="1524000" cy="363225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6A69490-F010-F7C7-D659-979E7ECCA8C7}"/>
              </a:ext>
            </a:extLst>
          </xdr:cNvPr>
          <xdr:cNvSpPr txBox="1"/>
        </xdr:nvSpPr>
        <xdr:spPr>
          <a:xfrm>
            <a:off x="2989660" y="4342210"/>
            <a:ext cx="105586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solidFill>
                  <a:srgbClr val="0654A5"/>
                </a:solidFill>
                <a:latin typeface="Bahnschrift Light" panose="020B0502040204020203" pitchFamily="34" charset="0"/>
              </a:rPr>
              <a:t>Dashboard</a:t>
            </a: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2A223AA-A761-4265-BE02-59771A5CD892}"/>
              </a:ext>
            </a:extLst>
          </xdr:cNvPr>
          <xdr:cNvSpPr txBox="1"/>
        </xdr:nvSpPr>
        <xdr:spPr>
          <a:xfrm>
            <a:off x="4314825" y="4343400"/>
            <a:ext cx="93820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Demands</a:t>
            </a: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CE9AB852-CD9D-4985-8181-34F749200688}"/>
              </a:ext>
            </a:extLst>
          </xdr:cNvPr>
          <xdr:cNvSpPr txBox="1"/>
        </xdr:nvSpPr>
        <xdr:spPr>
          <a:xfrm>
            <a:off x="5438775" y="4343400"/>
            <a:ext cx="1064843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Customers</a:t>
            </a: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ACBC57C9-3E91-4E32-AFCE-2715833223D9}"/>
              </a:ext>
            </a:extLst>
          </xdr:cNvPr>
          <xdr:cNvSpPr txBox="1"/>
        </xdr:nvSpPr>
        <xdr:spPr>
          <a:xfrm>
            <a:off x="6762750" y="4343400"/>
            <a:ext cx="649922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MRKs</a:t>
            </a:r>
          </a:p>
        </xdr:txBody>
      </xdr:sp>
      <xdr:cxnSp macro="">
        <xdr:nvCxnSpPr>
          <xdr:cNvPr id="31" name="Conector reto 30">
            <a:extLst>
              <a:ext uri="{FF2B5EF4-FFF2-40B4-BE49-F238E27FC236}">
                <a16:creationId xmlns:a16="http://schemas.microsoft.com/office/drawing/2014/main" id="{3806DA61-DEEE-0FDF-833B-290BF69790B2}"/>
              </a:ext>
            </a:extLst>
          </xdr:cNvPr>
          <xdr:cNvCxnSpPr/>
        </xdr:nvCxnSpPr>
        <xdr:spPr>
          <a:xfrm>
            <a:off x="3028950" y="4648200"/>
            <a:ext cx="971550" cy="0"/>
          </a:xfrm>
          <a:prstGeom prst="line">
            <a:avLst/>
          </a:prstGeom>
          <a:ln>
            <a:solidFill>
              <a:srgbClr val="0654A5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</xdr:col>
      <xdr:colOff>171450</xdr:colOff>
      <xdr:row>3</xdr:row>
      <xdr:rowOff>114300</xdr:rowOff>
    </xdr:from>
    <xdr:to>
      <xdr:col>3</xdr:col>
      <xdr:colOff>392250</xdr:colOff>
      <xdr:row>5</xdr:row>
      <xdr:rowOff>57150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511BF9B-27D3-6592-9A7B-E32FD86CC4AC}"/>
            </a:ext>
          </a:extLst>
        </xdr:cNvPr>
        <xdr:cNvGrpSpPr/>
      </xdr:nvGrpSpPr>
      <xdr:grpSpPr>
        <a:xfrm>
          <a:off x="781050" y="685800"/>
          <a:ext cx="1440000" cy="323850"/>
          <a:chOff x="1257300" y="714375"/>
          <a:chExt cx="1266826" cy="323850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8E7480E3-0457-C8FF-3D20-D05C4526806C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0452A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latin typeface="Bahnschrift" panose="020B0502040204020203" pitchFamily="34" charset="0"/>
              </a:rPr>
              <a:t>New</a:t>
            </a:r>
            <a:r>
              <a:rPr lang="pt-BR" sz="1100" baseline="0">
                <a:latin typeface="Bahnschrift" panose="020B0502040204020203" pitchFamily="34" charset="0"/>
              </a:rPr>
              <a:t> Demand</a:t>
            </a:r>
            <a:endParaRPr lang="pt-BR" sz="1100">
              <a:latin typeface="Bahnschrift" panose="020B0502040204020203" pitchFamily="34" charset="0"/>
            </a:endParaRPr>
          </a:p>
        </xdr:txBody>
      </xdr:sp>
      <xdr:pic>
        <xdr:nvPicPr>
          <xdr:cNvPr id="17" name="Gráfico 16" descr="Adicionar com preenchimento sólido">
            <a:extLst>
              <a:ext uri="{FF2B5EF4-FFF2-40B4-BE49-F238E27FC236}">
                <a16:creationId xmlns:a16="http://schemas.microsoft.com/office/drawing/2014/main" id="{89AC297C-1C63-ED82-F1C8-B59505F979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523875</xdr:colOff>
      <xdr:row>3</xdr:row>
      <xdr:rowOff>114300</xdr:rowOff>
    </xdr:from>
    <xdr:to>
      <xdr:col>6</xdr:col>
      <xdr:colOff>135075</xdr:colOff>
      <xdr:row>5</xdr:row>
      <xdr:rowOff>57150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A396B0-8403-4CCD-A1A4-4A6BE0EEEF0C}"/>
            </a:ext>
          </a:extLst>
        </xdr:cNvPr>
        <xdr:cNvGrpSpPr/>
      </xdr:nvGrpSpPr>
      <xdr:grpSpPr>
        <a:xfrm>
          <a:off x="2352675" y="685800"/>
          <a:ext cx="1440000" cy="323850"/>
          <a:chOff x="1257300" y="714375"/>
          <a:chExt cx="1266826" cy="323850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CD7A7E2-F9D7-68FC-5CDC-6F3A103BA066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E1E3E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New Customer</a:t>
            </a:r>
          </a:p>
        </xdr:txBody>
      </xdr:sp>
      <xdr:pic>
        <xdr:nvPicPr>
          <xdr:cNvPr id="23" name="Gráfico 22" descr="Adicionar com preenchimento sólido">
            <a:extLst>
              <a:ext uri="{FF2B5EF4-FFF2-40B4-BE49-F238E27FC236}">
                <a16:creationId xmlns:a16="http://schemas.microsoft.com/office/drawing/2014/main" id="{B0324B01-85BA-E4D9-6D86-CA5C3FB7A3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257175</xdr:colOff>
      <xdr:row>3</xdr:row>
      <xdr:rowOff>104775</xdr:rowOff>
    </xdr:from>
    <xdr:to>
      <xdr:col>8</xdr:col>
      <xdr:colOff>477975</xdr:colOff>
      <xdr:row>5</xdr:row>
      <xdr:rowOff>47625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C3AB09C-1A7A-435A-B694-13B2C8FE03DF}"/>
            </a:ext>
          </a:extLst>
        </xdr:cNvPr>
        <xdr:cNvGrpSpPr/>
      </xdr:nvGrpSpPr>
      <xdr:grpSpPr>
        <a:xfrm>
          <a:off x="3914775" y="676275"/>
          <a:ext cx="1440000" cy="323850"/>
          <a:chOff x="1257300" y="714375"/>
          <a:chExt cx="1266826" cy="323850"/>
        </a:xfrm>
        <a:solidFill>
          <a:srgbClr val="E1E3E4"/>
        </a:solidFill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76C02E0B-4916-8EA1-1242-92C0FBFC381D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Registre MRK</a:t>
            </a:r>
          </a:p>
        </xdr:txBody>
      </xdr:sp>
      <xdr:pic>
        <xdr:nvPicPr>
          <xdr:cNvPr id="34" name="Gráfico 33" descr="Adicionar com preenchimento sólido">
            <a:extLst>
              <a:ext uri="{FF2B5EF4-FFF2-40B4-BE49-F238E27FC236}">
                <a16:creationId xmlns:a16="http://schemas.microsoft.com/office/drawing/2014/main" id="{F9188059-FE3E-F05E-60EC-393E284FD1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C96947-BFCD-4E5B-A209-73E332952717}" name="Tabela5" displayName="Tabela5" ref="A1:M2" totalsRowShown="0" headerRowDxfId="35" dataDxfId="34">
  <autoFilter ref="A1:M2" xr:uid="{09C96947-BFCD-4E5B-A209-73E332952717}"/>
  <tableColumns count="13">
    <tableColumn id="13" xr3:uid="{5ECD28C5-671F-4337-9C5E-147BA062C91D}" name="id" dataDxfId="33"/>
    <tableColumn id="1" xr3:uid="{D3CBB90B-290A-4B61-96FA-124A84F48D69}" name="Opportunity" dataDxfId="32"/>
    <tableColumn id="2" xr3:uid="{AAB62F78-F538-4CCE-952E-4924D6F9A370}" name="mrk_code" dataDxfId="31"/>
    <tableColumn id="3" xr3:uid="{403E3107-8D2B-4C70-97B6-7827A1B22B63}" name="customer_code" dataDxfId="30"/>
    <tableColumn id="4" xr3:uid="{43C29D3A-3D90-46D0-9027-2BE3CF93EC7F}" name="est_hours" dataDxfId="29"/>
    <tableColumn id="5" xr3:uid="{523D9539-71AB-4374-A133-43E386D380C7}" name="started_date" dataDxfId="28"/>
    <tableColumn id="6" xr3:uid="{03384CCE-6560-41D6-A150-140C0B42FDF0}" name="est_delivery_date" dataDxfId="27"/>
    <tableColumn id="7" xr3:uid="{C543629D-9599-42C1-91B0-64AB17D123F5}" name="real_delivery_date" dataDxfId="26"/>
    <tableColumn id="8" xr3:uid="{22BEB00C-1747-4510-9169-3E7E7833F8A7}" name="type" dataDxfId="25"/>
    <tableColumn id="9" xr3:uid="{061C1246-0E5F-4EE6-87C7-C0DDAED54432}" name="status" dataDxfId="24"/>
    <tableColumn id="10" xr3:uid="{3ADC1BAE-E15D-4C15-855E-29E7C71E906C}" name="worked_hours" dataDxfId="23"/>
    <tableColumn id="11" xr3:uid="{41A637BD-8082-43E4-92A4-0458784CB867}" name="segment_code" dataDxfId="22"/>
    <tableColumn id="12" xr3:uid="{BCE69769-D315-4AEC-A3A7-6A058E481C82}" name="notes" dataDxfId="2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978519-DBC5-4A4C-B3B9-7BAE3DEB98A6}" name="tbtype" displayName="tbtype" ref="A1:A4" totalsRowShown="0">
  <autoFilter ref="A1:A4" xr:uid="{3D978519-DBC5-4A4C-B3B9-7BAE3DEB98A6}"/>
  <tableColumns count="1">
    <tableColumn id="1" xr3:uid="{D46FD900-6571-460E-8DD0-2181058705E4}" name="TYPE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736C38-9F75-4848-8BBB-34EAE91B47F5}" name="tbstatus" displayName="tbstatus" ref="C1:C4" totalsRowShown="0">
  <autoFilter ref="C1:C4" xr:uid="{F2736C38-9F75-4848-8BBB-34EAE91B47F5}"/>
  <tableColumns count="1">
    <tableColumn id="1" xr3:uid="{4354D1AF-E399-48F2-9343-8A1EC62E2C09}" name="STATU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34488-EAE7-4899-8E08-860CB4468FB7}" name="tbmrks" displayName="tbmrks" ref="A1:D4" totalsRowShown="0" headerRowDxfId="20" dataDxfId="19">
  <autoFilter ref="A1:D4" xr:uid="{04334488-EAE7-4899-8E08-860CB4468FB7}"/>
  <tableColumns count="4">
    <tableColumn id="4" xr3:uid="{1BC9AB9F-75B6-457A-8E64-A13646DCF5D6}" name="id" dataDxfId="18"/>
    <tableColumn id="1" xr3:uid="{F1FA31F6-6DCB-45E2-9BB2-E57806EE4FD9}" name="code" dataDxfId="17"/>
    <tableColumn id="2" xr3:uid="{C3DA4DCA-8420-4DEF-8171-F9255DA05F2D}" name="code segment" dataDxfId="16"/>
    <tableColumn id="3" xr3:uid="{166B1F5C-6647-409D-8796-20B089E18BCA}" name="description" dataDxfId="1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33FF4-6C51-4CF9-A9EF-1F222865CF45}" name="tbcustomers" displayName="tbcustomers" ref="A1:E80" totalsRowShown="0" headerRowDxfId="42" dataDxfId="41">
  <autoFilter ref="A1:E80" xr:uid="{FC833FF4-6C51-4CF9-A9EF-1F222865CF45}"/>
  <tableColumns count="5">
    <tableColumn id="1" xr3:uid="{A72CE74A-1EF4-4F46-8B0A-0BB061E0BD17}" name="id" dataDxfId="40"/>
    <tableColumn id="5" xr3:uid="{517904FD-4B80-450A-B47D-0617836793A1}" name="code" dataDxfId="39"/>
    <tableColumn id="2" xr3:uid="{5A555603-F972-43A9-8A0A-A5B6B08A0C98}" name="description" dataDxfId="38"/>
    <tableColumn id="3" xr3:uid="{9C76DF75-CB9F-426E-8356-E34617536174}" name="city" dataDxfId="37"/>
    <tableColumn id="4" xr3:uid="{C7D7C93D-CF72-4501-94BF-3B0E0AB10FFE}" name="country" dataDxfId="36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A96F1-0BAB-4985-9C2F-EDCDF4749638}" name="tbhours" displayName="tbhours" ref="A1:E3" totalsRowShown="0" headerRowDxfId="14" dataDxfId="13">
  <autoFilter ref="A1:E3" xr:uid="{980A96F1-0BAB-4985-9C2F-EDCDF4749638}"/>
  <tableColumns count="5">
    <tableColumn id="1" xr3:uid="{AF5E1968-A792-46C6-B586-548AFD4F7A7E}" name="id" dataDxfId="12"/>
    <tableColumn id="4" xr3:uid="{9FA7C6E1-4C29-44D4-B515-47A38629576C}" name="opportunity" dataDxfId="11"/>
    <tableColumn id="2" xr3:uid="{8F0F9DA7-DB2D-4F1C-B6D2-037B1689FB97}" name="date" dataDxfId="10"/>
    <tableColumn id="3" xr3:uid="{EC9F0A62-F6F5-4520-A4A2-9819F0098E95}" name="hours" dataDxfId="9"/>
    <tableColumn id="5" xr3:uid="{BF4BA73F-256D-4A48-914B-D9215C5677C9}" name="VER" dataDxfId="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BA0A-FD1F-41F5-BF07-586E0373F989}" name="tbsegments" displayName="tbsegments" ref="A1:C14" totalsRowShown="0" headerRowDxfId="7" dataDxfId="5" headerRowBorderDxfId="6" tableBorderDxfId="4" totalsRowBorderDxfId="3">
  <autoFilter ref="A1:C14" xr:uid="{CB7EBA0A-FD1F-41F5-BF07-586E0373F989}"/>
  <tableColumns count="3">
    <tableColumn id="1" xr3:uid="{DE31D872-37C8-4F3F-9544-7C77445B7B15}" name="id" dataDxfId="2"/>
    <tableColumn id="3" xr3:uid="{F929B19B-8EC3-4645-A688-110FCBD838EE}" name="code" dataDxfId="1"/>
    <tableColumn id="2" xr3:uid="{B78B88E3-ADFC-4F8F-9A64-651728EEA5F3}" name="description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5134-0BF9-4ADE-97A2-6E50412898AD}">
  <sheetPr codeName="Planilha1"/>
  <dimension ref="A1:N20"/>
  <sheetViews>
    <sheetView showGridLines="0" zoomScaleNormal="100" workbookViewId="0">
      <selection activeCell="L20" sqref="L20"/>
    </sheetView>
  </sheetViews>
  <sheetFormatPr defaultRowHeight="15" x14ac:dyDescent="0.25"/>
  <sheetData>
    <row r="1" spans="1:1" x14ac:dyDescent="0.25">
      <c r="A1">
        <v>37</v>
      </c>
    </row>
    <row r="19" spans="14:14" x14ac:dyDescent="0.25">
      <c r="N19" s="1"/>
    </row>
    <row r="20" spans="14:14" x14ac:dyDescent="0.25">
      <c r="N2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82D2-8CD5-41B9-9DDC-AB0C395EBC22}">
  <sheetPr codeName="Planilha2"/>
  <dimension ref="A1:M3"/>
  <sheetViews>
    <sheetView workbookViewId="0">
      <selection activeCell="H9" sqref="H9"/>
    </sheetView>
  </sheetViews>
  <sheetFormatPr defaultRowHeight="15" x14ac:dyDescent="0.25"/>
  <cols>
    <col min="1" max="2" width="17.42578125" style="2" customWidth="1"/>
    <col min="3" max="3" width="19.140625" style="2" customWidth="1"/>
    <col min="4" max="4" width="21" style="2" customWidth="1"/>
    <col min="5" max="5" width="23.85546875" style="2" customWidth="1"/>
    <col min="6" max="6" width="18.140625" style="2" customWidth="1"/>
    <col min="7" max="7" width="24" style="2" customWidth="1"/>
    <col min="8" max="8" width="24.85546875" style="2" customWidth="1"/>
    <col min="9" max="9" width="9.140625" style="2"/>
    <col min="10" max="10" width="10.7109375" style="2" customWidth="1"/>
    <col min="11" max="11" width="19.85546875" style="2" customWidth="1"/>
    <col min="12" max="12" width="20.140625" style="2" customWidth="1"/>
    <col min="13" max="13" width="193.5703125" style="2" customWidth="1"/>
    <col min="14" max="16384" width="9.140625" style="2"/>
  </cols>
  <sheetData>
    <row r="1" spans="1:13" x14ac:dyDescent="0.25">
      <c r="A1" s="2" t="s">
        <v>27</v>
      </c>
      <c r="B1" s="2" t="s">
        <v>2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</row>
    <row r="2" spans="1:13" ht="14.25" customHeight="1" x14ac:dyDescent="0.25">
      <c r="A2" s="2">
        <v>1</v>
      </c>
      <c r="B2" s="2">
        <v>70571</v>
      </c>
      <c r="C2" s="2">
        <v>3</v>
      </c>
      <c r="D2" s="2">
        <v>1</v>
      </c>
      <c r="E2" s="2">
        <v>12</v>
      </c>
      <c r="F2" s="9">
        <v>46066</v>
      </c>
      <c r="G2" s="9">
        <v>46072</v>
      </c>
      <c r="H2" s="9">
        <v>46072</v>
      </c>
      <c r="I2" s="2" t="s">
        <v>19</v>
      </c>
      <c r="J2" s="2" t="s">
        <v>26</v>
      </c>
      <c r="K2" s="2">
        <v>12</v>
      </c>
      <c r="L2" s="2">
        <v>1</v>
      </c>
      <c r="M2" s="10" t="s">
        <v>45</v>
      </c>
    </row>
    <row r="3" spans="1:13" ht="14.2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8E65-AB3D-4BD5-A09F-ED5127F61CB4}">
  <sheetPr codeName="Planilha7"/>
  <dimension ref="A1:C4"/>
  <sheetViews>
    <sheetView workbookViewId="0">
      <selection activeCell="O6" sqref="O6"/>
    </sheetView>
  </sheetViews>
  <sheetFormatPr defaultRowHeight="15" x14ac:dyDescent="0.25"/>
  <cols>
    <col min="1" max="1" width="18.28515625" customWidth="1"/>
    <col min="3" max="3" width="16.5703125" customWidth="1"/>
  </cols>
  <sheetData>
    <row r="1" spans="1:3" x14ac:dyDescent="0.25">
      <c r="A1" t="s">
        <v>20</v>
      </c>
      <c r="C1" t="s">
        <v>21</v>
      </c>
    </row>
    <row r="2" spans="1:3" x14ac:dyDescent="0.25">
      <c r="A2" t="s">
        <v>19</v>
      </c>
      <c r="C2" t="s">
        <v>24</v>
      </c>
    </row>
    <row r="3" spans="1:3" x14ac:dyDescent="0.25">
      <c r="A3" t="s">
        <v>22</v>
      </c>
      <c r="C3" t="s">
        <v>25</v>
      </c>
    </row>
    <row r="4" spans="1:3" x14ac:dyDescent="0.25">
      <c r="A4" t="s">
        <v>23</v>
      </c>
      <c r="C4" t="s">
        <v>26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3199-C77A-41FD-A1A2-3309EB268C5E}">
  <sheetPr codeName="Planilha3"/>
  <dimension ref="A1:K4"/>
  <sheetViews>
    <sheetView workbookViewId="0">
      <selection activeCell="P18" sqref="P18"/>
    </sheetView>
  </sheetViews>
  <sheetFormatPr defaultRowHeight="15" x14ac:dyDescent="0.25"/>
  <cols>
    <col min="1" max="2" width="9.140625" style="2"/>
    <col min="3" max="3" width="26.42578125" style="2" customWidth="1"/>
    <col min="4" max="4" width="58.5703125" style="2" bestFit="1" customWidth="1"/>
    <col min="5" max="11" width="9.140625" style="2" hidden="1" customWidth="1"/>
    <col min="12" max="16384" width="9.140625" style="2"/>
  </cols>
  <sheetData>
    <row r="1" spans="1:4" x14ac:dyDescent="0.25">
      <c r="A1" s="2" t="s">
        <v>27</v>
      </c>
      <c r="B1" s="2" t="s">
        <v>0</v>
      </c>
      <c r="C1" s="2" t="s">
        <v>7</v>
      </c>
      <c r="D1" s="2" t="s">
        <v>1</v>
      </c>
    </row>
    <row r="2" spans="1:4" x14ac:dyDescent="0.25">
      <c r="A2" s="2">
        <v>1</v>
      </c>
      <c r="B2" s="2">
        <v>35</v>
      </c>
      <c r="C2" s="2">
        <v>402</v>
      </c>
      <c r="D2" s="2" t="s">
        <v>39</v>
      </c>
    </row>
    <row r="3" spans="1:4" x14ac:dyDescent="0.25">
      <c r="A3" s="2">
        <v>2</v>
      </c>
      <c r="B3" s="2">
        <v>25</v>
      </c>
      <c r="C3" s="2">
        <v>403</v>
      </c>
      <c r="D3" s="2" t="s">
        <v>40</v>
      </c>
    </row>
    <row r="4" spans="1:4" x14ac:dyDescent="0.25">
      <c r="A4" s="2">
        <v>3</v>
      </c>
      <c r="B4" s="2">
        <v>172</v>
      </c>
      <c r="C4" s="2">
        <v>130</v>
      </c>
      <c r="D4" s="2" t="s">
        <v>216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2D06-D532-4861-AD4B-EFF1960E880C}">
  <sheetPr codeName="Planilha4"/>
  <dimension ref="A1:E80"/>
  <sheetViews>
    <sheetView tabSelected="1" workbookViewId="0">
      <selection activeCell="C1" sqref="C1"/>
    </sheetView>
  </sheetViews>
  <sheetFormatPr defaultRowHeight="15" x14ac:dyDescent="0.25"/>
  <cols>
    <col min="1" max="1" width="5.7109375" style="2" bestFit="1" customWidth="1"/>
    <col min="2" max="2" width="9.140625" style="2"/>
    <col min="3" max="3" width="73.5703125" style="2" bestFit="1" customWidth="1"/>
    <col min="4" max="4" width="33.28515625" style="2" bestFit="1" customWidth="1"/>
    <col min="5" max="5" width="13.85546875" style="2" bestFit="1" customWidth="1"/>
    <col min="6" max="8" width="9.140625" style="2"/>
    <col min="9" max="9" width="25.140625" style="2" customWidth="1"/>
    <col min="10" max="16384" width="9.140625" style="2"/>
  </cols>
  <sheetData>
    <row r="1" spans="1:5" x14ac:dyDescent="0.25">
      <c r="A1" s="2" t="s">
        <v>27</v>
      </c>
      <c r="B1" s="2" t="s">
        <v>0</v>
      </c>
      <c r="C1" s="2" t="s">
        <v>1</v>
      </c>
      <c r="D1" s="2" t="s">
        <v>5</v>
      </c>
      <c r="E1" s="2" t="s">
        <v>6</v>
      </c>
    </row>
    <row r="2" spans="1:5" x14ac:dyDescent="0.25">
      <c r="A2" s="2">
        <v>1</v>
      </c>
      <c r="B2" s="2">
        <v>35543</v>
      </c>
      <c r="C2" s="2" t="s">
        <v>48</v>
      </c>
      <c r="D2" s="2" t="s">
        <v>49</v>
      </c>
      <c r="E2" s="2" t="s">
        <v>50</v>
      </c>
    </row>
    <row r="3" spans="1:5" x14ac:dyDescent="0.25">
      <c r="A3" s="2">
        <v>2</v>
      </c>
      <c r="B3" s="2">
        <v>12153</v>
      </c>
      <c r="C3" s="2" t="s">
        <v>51</v>
      </c>
      <c r="D3" s="2" t="s">
        <v>52</v>
      </c>
      <c r="E3" s="2" t="s">
        <v>53</v>
      </c>
    </row>
    <row r="4" spans="1:5" x14ac:dyDescent="0.25">
      <c r="A4" s="2">
        <v>3</v>
      </c>
      <c r="B4" s="2">
        <v>31783</v>
      </c>
      <c r="C4" s="2" t="s">
        <v>54</v>
      </c>
      <c r="D4" s="2" t="s">
        <v>55</v>
      </c>
      <c r="E4" s="2" t="s">
        <v>56</v>
      </c>
    </row>
    <row r="5" spans="1:5" x14ac:dyDescent="0.25">
      <c r="A5" s="2">
        <v>4</v>
      </c>
      <c r="B5" s="2">
        <v>638</v>
      </c>
      <c r="C5" s="2" t="s">
        <v>57</v>
      </c>
      <c r="D5" s="2" t="s">
        <v>58</v>
      </c>
      <c r="E5" s="2" t="s">
        <v>59</v>
      </c>
    </row>
    <row r="6" spans="1:5" x14ac:dyDescent="0.25">
      <c r="A6" s="2">
        <v>5</v>
      </c>
      <c r="B6" s="2">
        <v>21620</v>
      </c>
      <c r="C6" s="2" t="s">
        <v>60</v>
      </c>
      <c r="D6" s="2" t="s">
        <v>61</v>
      </c>
      <c r="E6" s="2" t="s">
        <v>56</v>
      </c>
    </row>
    <row r="7" spans="1:5" x14ac:dyDescent="0.25">
      <c r="A7" s="2">
        <v>6</v>
      </c>
      <c r="B7" s="2">
        <v>8539</v>
      </c>
      <c r="C7" s="2" t="s">
        <v>62</v>
      </c>
      <c r="D7" s="2" t="s">
        <v>63</v>
      </c>
      <c r="E7" s="2" t="s">
        <v>56</v>
      </c>
    </row>
    <row r="8" spans="1:5" x14ac:dyDescent="0.25">
      <c r="A8" s="2">
        <v>7</v>
      </c>
      <c r="B8" s="2">
        <v>28149</v>
      </c>
      <c r="C8" s="2" t="s">
        <v>64</v>
      </c>
      <c r="D8" s="2" t="s">
        <v>65</v>
      </c>
      <c r="E8" s="2" t="s">
        <v>56</v>
      </c>
    </row>
    <row r="9" spans="1:5" x14ac:dyDescent="0.25">
      <c r="A9" s="2">
        <v>8</v>
      </c>
      <c r="B9" s="2">
        <v>15388</v>
      </c>
      <c r="C9" s="2" t="s">
        <v>66</v>
      </c>
      <c r="D9" s="2" t="s">
        <v>67</v>
      </c>
      <c r="E9" s="2" t="s">
        <v>68</v>
      </c>
    </row>
    <row r="10" spans="1:5" x14ac:dyDescent="0.25">
      <c r="A10" s="2">
        <v>9</v>
      </c>
      <c r="B10" s="2">
        <v>38985</v>
      </c>
      <c r="C10" s="2" t="s">
        <v>69</v>
      </c>
      <c r="D10" s="2" t="s">
        <v>70</v>
      </c>
      <c r="E10" s="2" t="s">
        <v>56</v>
      </c>
    </row>
    <row r="11" spans="1:5" x14ac:dyDescent="0.25">
      <c r="A11" s="2">
        <v>10</v>
      </c>
      <c r="B11" s="2">
        <v>20367</v>
      </c>
      <c r="C11" s="2" t="s">
        <v>71</v>
      </c>
      <c r="D11" s="2" t="s">
        <v>72</v>
      </c>
      <c r="E11" s="2" t="s">
        <v>73</v>
      </c>
    </row>
    <row r="12" spans="1:5" x14ac:dyDescent="0.25">
      <c r="A12" s="2">
        <v>11</v>
      </c>
      <c r="B12" s="2">
        <v>31283</v>
      </c>
      <c r="C12" s="2" t="s">
        <v>74</v>
      </c>
      <c r="D12" s="2" t="s">
        <v>75</v>
      </c>
      <c r="E12" s="2" t="s">
        <v>76</v>
      </c>
    </row>
    <row r="13" spans="1:5" x14ac:dyDescent="0.25">
      <c r="A13" s="2">
        <v>12</v>
      </c>
      <c r="B13" s="2">
        <v>48829</v>
      </c>
      <c r="C13" s="2" t="s">
        <v>77</v>
      </c>
      <c r="D13" s="2" t="s">
        <v>78</v>
      </c>
      <c r="E13" s="2" t="s">
        <v>79</v>
      </c>
    </row>
    <row r="14" spans="1:5" x14ac:dyDescent="0.25">
      <c r="A14" s="2">
        <v>13</v>
      </c>
      <c r="B14" s="2">
        <v>42360</v>
      </c>
      <c r="C14" s="2" t="s">
        <v>80</v>
      </c>
      <c r="D14" s="2" t="s">
        <v>81</v>
      </c>
      <c r="E14" s="2" t="s">
        <v>73</v>
      </c>
    </row>
    <row r="15" spans="1:5" x14ac:dyDescent="0.25">
      <c r="A15" s="2">
        <v>14</v>
      </c>
      <c r="B15" s="2">
        <v>18806</v>
      </c>
      <c r="C15" s="2" t="s">
        <v>82</v>
      </c>
      <c r="D15" s="2" t="s">
        <v>83</v>
      </c>
      <c r="E15" s="2" t="s">
        <v>84</v>
      </c>
    </row>
    <row r="16" spans="1:5" x14ac:dyDescent="0.25">
      <c r="A16" s="2">
        <v>15</v>
      </c>
      <c r="B16" s="2">
        <v>962</v>
      </c>
      <c r="C16" s="2" t="s">
        <v>85</v>
      </c>
      <c r="D16" s="2" t="s">
        <v>86</v>
      </c>
      <c r="E16" s="2" t="s">
        <v>44</v>
      </c>
    </row>
    <row r="17" spans="1:5" x14ac:dyDescent="0.25">
      <c r="A17" s="2">
        <v>16</v>
      </c>
      <c r="B17" s="2">
        <v>36614</v>
      </c>
      <c r="C17" s="2" t="s">
        <v>87</v>
      </c>
      <c r="D17" s="2" t="s">
        <v>88</v>
      </c>
      <c r="E17" s="2" t="s">
        <v>56</v>
      </c>
    </row>
    <row r="18" spans="1:5" x14ac:dyDescent="0.25">
      <c r="A18" s="2">
        <v>17</v>
      </c>
      <c r="B18" s="2">
        <v>26929</v>
      </c>
      <c r="C18" s="2" t="s">
        <v>89</v>
      </c>
      <c r="D18" s="2" t="s">
        <v>90</v>
      </c>
      <c r="E18" s="2" t="s">
        <v>56</v>
      </c>
    </row>
    <row r="19" spans="1:5" x14ac:dyDescent="0.25">
      <c r="A19" s="2">
        <v>18</v>
      </c>
      <c r="B19" s="2">
        <v>24228</v>
      </c>
      <c r="C19" s="2" t="s">
        <v>91</v>
      </c>
      <c r="D19" s="2" t="s">
        <v>92</v>
      </c>
      <c r="E19" s="2" t="s">
        <v>56</v>
      </c>
    </row>
    <row r="20" spans="1:5" x14ac:dyDescent="0.25">
      <c r="A20" s="2">
        <v>19</v>
      </c>
      <c r="B20" s="2">
        <v>13365</v>
      </c>
      <c r="C20" s="2" t="s">
        <v>93</v>
      </c>
      <c r="D20" s="2" t="s">
        <v>94</v>
      </c>
      <c r="E20" s="2" t="s">
        <v>44</v>
      </c>
    </row>
    <row r="21" spans="1:5" x14ac:dyDescent="0.25">
      <c r="A21" s="2">
        <v>20</v>
      </c>
      <c r="B21" s="2">
        <v>8224</v>
      </c>
      <c r="C21" s="2" t="s">
        <v>95</v>
      </c>
      <c r="D21" s="2" t="s">
        <v>96</v>
      </c>
      <c r="E21" s="2" t="s">
        <v>44</v>
      </c>
    </row>
    <row r="22" spans="1:5" x14ac:dyDescent="0.25">
      <c r="A22" s="2">
        <v>21</v>
      </c>
      <c r="B22" s="2">
        <v>17985</v>
      </c>
      <c r="C22" s="2" t="s">
        <v>97</v>
      </c>
      <c r="D22" s="2" t="s">
        <v>98</v>
      </c>
      <c r="E22" s="2" t="s">
        <v>84</v>
      </c>
    </row>
    <row r="23" spans="1:5" x14ac:dyDescent="0.25">
      <c r="A23" s="2">
        <v>22</v>
      </c>
      <c r="B23" s="2">
        <v>36115</v>
      </c>
      <c r="C23" s="2" t="s">
        <v>99</v>
      </c>
      <c r="D23" s="2" t="s">
        <v>100</v>
      </c>
      <c r="E23" s="2" t="s">
        <v>56</v>
      </c>
    </row>
    <row r="24" spans="1:5" x14ac:dyDescent="0.25">
      <c r="A24" s="2">
        <v>23</v>
      </c>
      <c r="B24" s="2">
        <v>933</v>
      </c>
      <c r="C24" s="2" t="s">
        <v>101</v>
      </c>
      <c r="D24" s="2" t="s">
        <v>102</v>
      </c>
      <c r="E24" s="2" t="s">
        <v>79</v>
      </c>
    </row>
    <row r="25" spans="1:5" x14ac:dyDescent="0.25">
      <c r="A25" s="2">
        <v>24</v>
      </c>
      <c r="B25" s="2">
        <v>35578</v>
      </c>
      <c r="C25" s="2" t="s">
        <v>103</v>
      </c>
      <c r="D25" s="2" t="s">
        <v>104</v>
      </c>
      <c r="E25" s="2" t="s">
        <v>105</v>
      </c>
    </row>
    <row r="26" spans="1:5" x14ac:dyDescent="0.25">
      <c r="A26" s="2">
        <v>25</v>
      </c>
      <c r="B26" s="2">
        <v>30153</v>
      </c>
      <c r="C26" s="2" t="s">
        <v>106</v>
      </c>
      <c r="D26" s="2" t="s">
        <v>107</v>
      </c>
      <c r="E26" s="2" t="s">
        <v>108</v>
      </c>
    </row>
    <row r="27" spans="1:5" x14ac:dyDescent="0.25">
      <c r="A27" s="2">
        <v>26</v>
      </c>
      <c r="B27" s="2">
        <v>48644</v>
      </c>
      <c r="C27" s="2" t="s">
        <v>109</v>
      </c>
      <c r="D27" s="2" t="s">
        <v>110</v>
      </c>
      <c r="E27" s="2" t="s">
        <v>56</v>
      </c>
    </row>
    <row r="28" spans="1:5" x14ac:dyDescent="0.25">
      <c r="A28" s="2">
        <v>27</v>
      </c>
      <c r="B28" s="2">
        <v>21735</v>
      </c>
      <c r="C28" s="2" t="s">
        <v>111</v>
      </c>
      <c r="D28" s="2" t="s">
        <v>112</v>
      </c>
      <c r="E28" s="2" t="s">
        <v>56</v>
      </c>
    </row>
    <row r="29" spans="1:5" x14ac:dyDescent="0.25">
      <c r="A29" s="2">
        <v>28</v>
      </c>
      <c r="B29" s="2">
        <v>20649</v>
      </c>
      <c r="C29" s="2" t="s">
        <v>113</v>
      </c>
      <c r="D29" s="2" t="s">
        <v>114</v>
      </c>
      <c r="E29" s="2" t="s">
        <v>115</v>
      </c>
    </row>
    <row r="30" spans="1:5" x14ac:dyDescent="0.25">
      <c r="A30" s="2">
        <v>29</v>
      </c>
      <c r="B30" s="2">
        <v>28095</v>
      </c>
      <c r="C30" s="2" t="s">
        <v>116</v>
      </c>
      <c r="D30" s="2" t="s">
        <v>117</v>
      </c>
      <c r="E30" s="2" t="s">
        <v>84</v>
      </c>
    </row>
    <row r="31" spans="1:5" x14ac:dyDescent="0.25">
      <c r="A31" s="2">
        <v>30</v>
      </c>
      <c r="B31" s="2">
        <v>13825</v>
      </c>
      <c r="C31" s="2" t="s">
        <v>118</v>
      </c>
      <c r="D31" s="2" t="s">
        <v>119</v>
      </c>
      <c r="E31" s="2" t="s">
        <v>68</v>
      </c>
    </row>
    <row r="32" spans="1:5" x14ac:dyDescent="0.25">
      <c r="A32" s="2">
        <v>31</v>
      </c>
      <c r="B32" s="2">
        <v>40749</v>
      </c>
      <c r="C32" s="2" t="s">
        <v>120</v>
      </c>
      <c r="D32" s="2" t="s">
        <v>121</v>
      </c>
      <c r="E32" s="2" t="s">
        <v>56</v>
      </c>
    </row>
    <row r="33" spans="1:5" x14ac:dyDescent="0.25">
      <c r="A33" s="2">
        <v>32</v>
      </c>
      <c r="B33" s="2">
        <v>5796</v>
      </c>
      <c r="C33" s="2" t="s">
        <v>122</v>
      </c>
      <c r="D33" s="2" t="s">
        <v>123</v>
      </c>
      <c r="E33" s="2" t="s">
        <v>56</v>
      </c>
    </row>
    <row r="34" spans="1:5" x14ac:dyDescent="0.25">
      <c r="A34" s="2">
        <v>33</v>
      </c>
      <c r="B34" s="2">
        <v>8042</v>
      </c>
      <c r="C34" s="2" t="s">
        <v>124</v>
      </c>
      <c r="D34" s="2" t="s">
        <v>125</v>
      </c>
      <c r="E34" s="2" t="s">
        <v>44</v>
      </c>
    </row>
    <row r="35" spans="1:5" x14ac:dyDescent="0.25">
      <c r="A35" s="2">
        <v>34</v>
      </c>
      <c r="B35" s="2">
        <v>29742</v>
      </c>
      <c r="C35" s="2" t="s">
        <v>126</v>
      </c>
      <c r="D35" s="2" t="s">
        <v>72</v>
      </c>
      <c r="E35" s="2" t="s">
        <v>73</v>
      </c>
    </row>
    <row r="36" spans="1:5" x14ac:dyDescent="0.25">
      <c r="A36" s="2">
        <v>35</v>
      </c>
      <c r="B36" s="2">
        <v>14970</v>
      </c>
      <c r="C36" s="2" t="s">
        <v>127</v>
      </c>
      <c r="D36" s="2" t="s">
        <v>128</v>
      </c>
      <c r="E36" s="2" t="s">
        <v>68</v>
      </c>
    </row>
    <row r="37" spans="1:5" x14ac:dyDescent="0.25">
      <c r="A37" s="2">
        <v>36</v>
      </c>
      <c r="B37" s="2">
        <v>27060</v>
      </c>
      <c r="C37" s="2" t="s">
        <v>129</v>
      </c>
      <c r="D37" s="2" t="s">
        <v>130</v>
      </c>
      <c r="E37" s="2" t="s">
        <v>56</v>
      </c>
    </row>
    <row r="38" spans="1:5" x14ac:dyDescent="0.25">
      <c r="A38" s="2">
        <v>37</v>
      </c>
      <c r="B38" s="2">
        <v>21083</v>
      </c>
      <c r="C38" s="2" t="s">
        <v>131</v>
      </c>
      <c r="D38" s="2" t="s">
        <v>132</v>
      </c>
      <c r="E38" s="2" t="s">
        <v>44</v>
      </c>
    </row>
    <row r="39" spans="1:5" x14ac:dyDescent="0.25">
      <c r="A39" s="2">
        <v>38</v>
      </c>
      <c r="B39" s="2">
        <v>42241</v>
      </c>
      <c r="C39" s="2" t="s">
        <v>133</v>
      </c>
      <c r="D39" s="2" t="s">
        <v>134</v>
      </c>
      <c r="E39" s="2" t="s">
        <v>56</v>
      </c>
    </row>
    <row r="40" spans="1:5" x14ac:dyDescent="0.25">
      <c r="A40" s="2">
        <v>39</v>
      </c>
      <c r="B40" s="2">
        <v>8145</v>
      </c>
      <c r="C40" s="2" t="s">
        <v>135</v>
      </c>
      <c r="D40" s="2" t="s">
        <v>136</v>
      </c>
      <c r="E40" s="2" t="s">
        <v>44</v>
      </c>
    </row>
    <row r="41" spans="1:5" x14ac:dyDescent="0.25">
      <c r="A41" s="2">
        <v>40</v>
      </c>
      <c r="B41" s="2">
        <v>19057</v>
      </c>
      <c r="C41" s="2" t="s">
        <v>137</v>
      </c>
      <c r="D41" s="2" t="s">
        <v>138</v>
      </c>
      <c r="E41" s="2" t="s">
        <v>68</v>
      </c>
    </row>
    <row r="42" spans="1:5" x14ac:dyDescent="0.25">
      <c r="A42" s="2">
        <v>41</v>
      </c>
      <c r="B42" s="2">
        <v>26087</v>
      </c>
      <c r="C42" s="2" t="s">
        <v>139</v>
      </c>
      <c r="D42" s="2" t="s">
        <v>140</v>
      </c>
      <c r="E42" s="2" t="s">
        <v>76</v>
      </c>
    </row>
    <row r="43" spans="1:5" x14ac:dyDescent="0.25">
      <c r="A43" s="2">
        <v>42</v>
      </c>
      <c r="B43" s="2">
        <v>28604</v>
      </c>
      <c r="C43" s="2" t="s">
        <v>141</v>
      </c>
      <c r="D43" s="2" t="s">
        <v>142</v>
      </c>
      <c r="E43" s="2" t="s">
        <v>143</v>
      </c>
    </row>
    <row r="44" spans="1:5" x14ac:dyDescent="0.25">
      <c r="A44" s="2">
        <v>43</v>
      </c>
      <c r="B44" s="2">
        <v>48342</v>
      </c>
      <c r="C44" s="2" t="s">
        <v>144</v>
      </c>
      <c r="D44" s="2" t="s">
        <v>145</v>
      </c>
      <c r="E44" s="2" t="s">
        <v>44</v>
      </c>
    </row>
    <row r="45" spans="1:5" x14ac:dyDescent="0.25">
      <c r="A45" s="2">
        <v>44</v>
      </c>
      <c r="B45" s="2">
        <v>33559</v>
      </c>
      <c r="C45" s="2" t="s">
        <v>146</v>
      </c>
      <c r="D45" s="2" t="s">
        <v>147</v>
      </c>
      <c r="E45" s="2" t="s">
        <v>56</v>
      </c>
    </row>
    <row r="46" spans="1:5" x14ac:dyDescent="0.25">
      <c r="A46" s="2">
        <v>45</v>
      </c>
      <c r="B46" s="2">
        <v>46570</v>
      </c>
      <c r="C46" s="2" t="s">
        <v>148</v>
      </c>
      <c r="D46" s="2" t="s">
        <v>149</v>
      </c>
      <c r="E46" s="2" t="s">
        <v>56</v>
      </c>
    </row>
    <row r="47" spans="1:5" x14ac:dyDescent="0.25">
      <c r="A47" s="2">
        <v>46</v>
      </c>
      <c r="B47" s="2">
        <v>46443</v>
      </c>
      <c r="C47" s="2" t="s">
        <v>150</v>
      </c>
      <c r="D47" s="2" t="s">
        <v>151</v>
      </c>
      <c r="E47" s="2" t="s">
        <v>56</v>
      </c>
    </row>
    <row r="48" spans="1:5" x14ac:dyDescent="0.25">
      <c r="A48" s="2">
        <v>47</v>
      </c>
      <c r="B48" s="2">
        <v>20547</v>
      </c>
      <c r="C48" s="2" t="s">
        <v>152</v>
      </c>
      <c r="D48" s="2" t="s">
        <v>153</v>
      </c>
      <c r="E48" s="2" t="s">
        <v>56</v>
      </c>
    </row>
    <row r="49" spans="1:5" x14ac:dyDescent="0.25">
      <c r="A49" s="2">
        <v>48</v>
      </c>
      <c r="B49" s="2">
        <v>41062</v>
      </c>
      <c r="C49" s="2" t="s">
        <v>154</v>
      </c>
      <c r="D49" s="2" t="s">
        <v>155</v>
      </c>
      <c r="E49" s="2" t="s">
        <v>44</v>
      </c>
    </row>
    <row r="50" spans="1:5" x14ac:dyDescent="0.25">
      <c r="A50" s="2">
        <v>49</v>
      </c>
      <c r="B50" s="2">
        <v>40098</v>
      </c>
      <c r="C50" s="2" t="s">
        <v>156</v>
      </c>
      <c r="D50" s="2" t="s">
        <v>157</v>
      </c>
      <c r="E50" s="2" t="s">
        <v>44</v>
      </c>
    </row>
    <row r="51" spans="1:5" x14ac:dyDescent="0.25">
      <c r="A51" s="2">
        <v>50</v>
      </c>
      <c r="B51" s="2">
        <v>39451</v>
      </c>
      <c r="C51" s="2" t="s">
        <v>158</v>
      </c>
      <c r="D51" s="2" t="s">
        <v>159</v>
      </c>
      <c r="E51" s="2" t="s">
        <v>44</v>
      </c>
    </row>
    <row r="52" spans="1:5" x14ac:dyDescent="0.25">
      <c r="A52" s="2">
        <v>51</v>
      </c>
      <c r="B52" s="2">
        <v>36012</v>
      </c>
      <c r="C52" s="2" t="s">
        <v>160</v>
      </c>
      <c r="D52" s="2" t="s">
        <v>161</v>
      </c>
      <c r="E52" s="2" t="s">
        <v>56</v>
      </c>
    </row>
    <row r="53" spans="1:5" x14ac:dyDescent="0.25">
      <c r="A53" s="2">
        <v>52</v>
      </c>
      <c r="B53" s="2">
        <v>26441</v>
      </c>
      <c r="C53" s="2" t="s">
        <v>162</v>
      </c>
      <c r="D53" s="2" t="s">
        <v>163</v>
      </c>
      <c r="E53" s="2" t="s">
        <v>56</v>
      </c>
    </row>
    <row r="54" spans="1:5" x14ac:dyDescent="0.25">
      <c r="A54" s="2">
        <v>53</v>
      </c>
      <c r="B54" s="2">
        <v>47191</v>
      </c>
      <c r="C54" s="2" t="s">
        <v>164</v>
      </c>
      <c r="D54" s="2" t="s">
        <v>165</v>
      </c>
      <c r="E54" s="2" t="s">
        <v>56</v>
      </c>
    </row>
    <row r="55" spans="1:5" x14ac:dyDescent="0.25">
      <c r="A55" s="2">
        <v>54</v>
      </c>
      <c r="B55" s="2">
        <v>36686</v>
      </c>
      <c r="C55" s="2" t="s">
        <v>166</v>
      </c>
      <c r="D55" s="2" t="s">
        <v>167</v>
      </c>
      <c r="E55" s="2" t="s">
        <v>56</v>
      </c>
    </row>
    <row r="56" spans="1:5" x14ac:dyDescent="0.25">
      <c r="A56" s="2">
        <v>55</v>
      </c>
      <c r="B56" s="2">
        <v>36132</v>
      </c>
      <c r="C56" s="2" t="s">
        <v>168</v>
      </c>
      <c r="D56" s="2" t="s">
        <v>169</v>
      </c>
      <c r="E56" s="2" t="s">
        <v>56</v>
      </c>
    </row>
    <row r="57" spans="1:5" x14ac:dyDescent="0.25">
      <c r="A57" s="2">
        <v>56</v>
      </c>
      <c r="B57" s="2">
        <v>8371</v>
      </c>
      <c r="C57" s="2" t="s">
        <v>170</v>
      </c>
      <c r="D57" s="2" t="s">
        <v>171</v>
      </c>
      <c r="E57" s="2" t="s">
        <v>56</v>
      </c>
    </row>
    <row r="58" spans="1:5" x14ac:dyDescent="0.25">
      <c r="A58" s="2">
        <v>57</v>
      </c>
      <c r="B58" s="2">
        <v>47525</v>
      </c>
      <c r="C58" s="2" t="s">
        <v>172</v>
      </c>
      <c r="D58" s="2" t="s">
        <v>173</v>
      </c>
      <c r="E58" s="2" t="s">
        <v>56</v>
      </c>
    </row>
    <row r="59" spans="1:5" x14ac:dyDescent="0.25">
      <c r="A59" s="2">
        <v>58</v>
      </c>
      <c r="B59" s="2">
        <v>31036</v>
      </c>
      <c r="C59" s="2" t="s">
        <v>174</v>
      </c>
      <c r="D59" s="2" t="s">
        <v>175</v>
      </c>
      <c r="E59" s="2" t="s">
        <v>56</v>
      </c>
    </row>
    <row r="60" spans="1:5" x14ac:dyDescent="0.25">
      <c r="A60" s="2">
        <v>59</v>
      </c>
      <c r="B60" s="2">
        <v>23153</v>
      </c>
      <c r="C60" s="2" t="s">
        <v>176</v>
      </c>
      <c r="D60" s="2" t="s">
        <v>177</v>
      </c>
      <c r="E60" s="2" t="s">
        <v>73</v>
      </c>
    </row>
    <row r="61" spans="1:5" x14ac:dyDescent="0.25">
      <c r="A61" s="2">
        <v>60</v>
      </c>
      <c r="B61" s="2">
        <v>12514</v>
      </c>
      <c r="C61" s="2" t="s">
        <v>178</v>
      </c>
      <c r="D61" s="2" t="s">
        <v>151</v>
      </c>
      <c r="E61" s="2" t="s">
        <v>56</v>
      </c>
    </row>
    <row r="62" spans="1:5" x14ac:dyDescent="0.25">
      <c r="A62" s="2">
        <v>61</v>
      </c>
      <c r="B62" s="2">
        <v>23760</v>
      </c>
      <c r="C62" s="2" t="s">
        <v>179</v>
      </c>
      <c r="D62" s="2" t="s">
        <v>180</v>
      </c>
      <c r="E62" s="2" t="s">
        <v>56</v>
      </c>
    </row>
    <row r="63" spans="1:5" x14ac:dyDescent="0.25">
      <c r="A63" s="2">
        <v>62</v>
      </c>
      <c r="B63" s="2">
        <v>31265</v>
      </c>
      <c r="C63" s="2" t="s">
        <v>181</v>
      </c>
      <c r="D63" s="2" t="s">
        <v>182</v>
      </c>
      <c r="E63" s="2" t="s">
        <v>73</v>
      </c>
    </row>
    <row r="64" spans="1:5" x14ac:dyDescent="0.25">
      <c r="A64" s="2">
        <v>63</v>
      </c>
      <c r="B64" s="2">
        <v>40721</v>
      </c>
      <c r="C64" s="2" t="s">
        <v>95</v>
      </c>
      <c r="D64" s="2" t="s">
        <v>183</v>
      </c>
      <c r="E64" s="2" t="s">
        <v>44</v>
      </c>
    </row>
    <row r="65" spans="1:5" x14ac:dyDescent="0.25">
      <c r="A65" s="2">
        <v>64</v>
      </c>
      <c r="B65" s="2">
        <v>44749</v>
      </c>
      <c r="C65" s="2" t="s">
        <v>184</v>
      </c>
      <c r="D65" s="2" t="s">
        <v>185</v>
      </c>
      <c r="E65" s="2" t="s">
        <v>44</v>
      </c>
    </row>
    <row r="66" spans="1:5" x14ac:dyDescent="0.25">
      <c r="A66" s="2">
        <v>65</v>
      </c>
      <c r="B66" s="2">
        <v>37080</v>
      </c>
      <c r="C66" s="2" t="s">
        <v>186</v>
      </c>
      <c r="D66" s="2" t="s">
        <v>187</v>
      </c>
      <c r="E66" s="2" t="s">
        <v>44</v>
      </c>
    </row>
    <row r="67" spans="1:5" x14ac:dyDescent="0.25">
      <c r="A67" s="2">
        <v>66</v>
      </c>
      <c r="B67" s="2">
        <v>18853</v>
      </c>
      <c r="C67" s="2" t="s">
        <v>188</v>
      </c>
      <c r="D67" s="2" t="s">
        <v>189</v>
      </c>
      <c r="E67" s="2" t="s">
        <v>190</v>
      </c>
    </row>
    <row r="68" spans="1:5" x14ac:dyDescent="0.25">
      <c r="A68" s="2">
        <v>67</v>
      </c>
      <c r="B68" s="2">
        <v>1159</v>
      </c>
      <c r="C68" s="2" t="s">
        <v>191</v>
      </c>
      <c r="D68" s="2" t="s">
        <v>192</v>
      </c>
      <c r="E68" s="2" t="s">
        <v>193</v>
      </c>
    </row>
    <row r="69" spans="1:5" x14ac:dyDescent="0.25">
      <c r="A69" s="2">
        <v>68</v>
      </c>
      <c r="B69" s="2">
        <v>945</v>
      </c>
      <c r="C69" s="2" t="s">
        <v>194</v>
      </c>
      <c r="D69" s="2" t="s">
        <v>195</v>
      </c>
      <c r="E69" s="2" t="s">
        <v>56</v>
      </c>
    </row>
    <row r="70" spans="1:5" x14ac:dyDescent="0.25">
      <c r="A70" s="2">
        <v>69</v>
      </c>
      <c r="B70" s="2">
        <v>13107</v>
      </c>
      <c r="C70" s="2" t="s">
        <v>196</v>
      </c>
      <c r="D70" s="2" t="s">
        <v>197</v>
      </c>
      <c r="E70" s="2" t="s">
        <v>44</v>
      </c>
    </row>
    <row r="71" spans="1:5" x14ac:dyDescent="0.25">
      <c r="A71" s="2">
        <v>70</v>
      </c>
      <c r="B71" s="2">
        <v>65082</v>
      </c>
      <c r="C71" s="2" t="s">
        <v>198</v>
      </c>
      <c r="D71" s="2" t="s">
        <v>199</v>
      </c>
      <c r="E71" s="2" t="s">
        <v>56</v>
      </c>
    </row>
    <row r="72" spans="1:5" x14ac:dyDescent="0.25">
      <c r="A72" s="2">
        <v>71</v>
      </c>
      <c r="B72" s="2">
        <v>45487</v>
      </c>
      <c r="C72" s="2" t="s">
        <v>200</v>
      </c>
      <c r="D72" s="2" t="s">
        <v>201</v>
      </c>
      <c r="E72" s="2" t="s">
        <v>73</v>
      </c>
    </row>
    <row r="73" spans="1:5" x14ac:dyDescent="0.25">
      <c r="A73" s="2">
        <v>72</v>
      </c>
      <c r="B73" s="2">
        <v>4451</v>
      </c>
      <c r="C73" s="2" t="s">
        <v>202</v>
      </c>
      <c r="D73" s="2" t="s">
        <v>203</v>
      </c>
      <c r="E73" s="2" t="s">
        <v>56</v>
      </c>
    </row>
    <row r="74" spans="1:5" x14ac:dyDescent="0.25">
      <c r="A74" s="2">
        <v>73</v>
      </c>
      <c r="B74" s="2">
        <v>33934</v>
      </c>
      <c r="C74" s="2" t="s">
        <v>204</v>
      </c>
      <c r="D74" s="2" t="s">
        <v>205</v>
      </c>
      <c r="E74" s="2" t="s">
        <v>53</v>
      </c>
    </row>
    <row r="75" spans="1:5" x14ac:dyDescent="0.25">
      <c r="A75" s="2">
        <v>74</v>
      </c>
      <c r="B75" s="2">
        <v>21764</v>
      </c>
      <c r="C75" s="2" t="s">
        <v>206</v>
      </c>
      <c r="D75" s="2" t="s">
        <v>207</v>
      </c>
      <c r="E75" s="2" t="s">
        <v>56</v>
      </c>
    </row>
    <row r="76" spans="1:5" x14ac:dyDescent="0.25">
      <c r="A76" s="2">
        <v>75</v>
      </c>
      <c r="B76" s="2">
        <v>18623</v>
      </c>
      <c r="C76" s="2" t="s">
        <v>42</v>
      </c>
      <c r="D76" s="2" t="s">
        <v>43</v>
      </c>
      <c r="E76" s="2" t="s">
        <v>44</v>
      </c>
    </row>
    <row r="77" spans="1:5" x14ac:dyDescent="0.25">
      <c r="A77" s="2">
        <v>76</v>
      </c>
      <c r="B77" s="2">
        <v>15377</v>
      </c>
      <c r="C77" s="2" t="s">
        <v>208</v>
      </c>
      <c r="D77" s="2" t="s">
        <v>209</v>
      </c>
      <c r="E77" s="2" t="s">
        <v>68</v>
      </c>
    </row>
    <row r="78" spans="1:5" x14ac:dyDescent="0.25">
      <c r="A78" s="2">
        <v>77</v>
      </c>
      <c r="B78" s="2">
        <v>922</v>
      </c>
      <c r="C78" s="2" t="s">
        <v>210</v>
      </c>
      <c r="D78" s="2" t="s">
        <v>211</v>
      </c>
      <c r="E78" s="2" t="s">
        <v>56</v>
      </c>
    </row>
    <row r="79" spans="1:5" x14ac:dyDescent="0.25">
      <c r="A79" s="2">
        <v>78</v>
      </c>
      <c r="B79" s="2">
        <v>3419</v>
      </c>
      <c r="C79" s="2" t="s">
        <v>212</v>
      </c>
      <c r="D79" s="2" t="s">
        <v>213</v>
      </c>
      <c r="E79" s="2" t="s">
        <v>53</v>
      </c>
    </row>
    <row r="80" spans="1:5" x14ac:dyDescent="0.25">
      <c r="A80" s="2">
        <v>79</v>
      </c>
      <c r="B80" s="2">
        <v>32874</v>
      </c>
      <c r="C80" s="2" t="s">
        <v>214</v>
      </c>
      <c r="D80" s="2" t="s">
        <v>173</v>
      </c>
      <c r="E80" s="2" t="s">
        <v>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E83E-6107-4536-9DDB-03EBAC54C4C3}">
  <sheetPr codeName="Planilha5"/>
  <dimension ref="A1:E3"/>
  <sheetViews>
    <sheetView workbookViewId="0">
      <selection activeCell="L13" sqref="L13"/>
    </sheetView>
  </sheetViews>
  <sheetFormatPr defaultRowHeight="15" x14ac:dyDescent="0.25"/>
  <cols>
    <col min="1" max="1" width="5.7109375" style="2" bestFit="1" customWidth="1"/>
    <col min="2" max="2" width="23.5703125" style="2" customWidth="1"/>
    <col min="3" max="3" width="19" style="2" customWidth="1"/>
    <col min="4" max="4" width="20.140625" style="2" customWidth="1"/>
    <col min="5" max="16384" width="9.140625" style="2"/>
  </cols>
  <sheetData>
    <row r="1" spans="1:5" x14ac:dyDescent="0.25">
      <c r="A1" s="2" t="s">
        <v>27</v>
      </c>
      <c r="B1" s="2" t="s">
        <v>215</v>
      </c>
      <c r="C1" s="2" t="s">
        <v>3</v>
      </c>
      <c r="D1" s="2" t="s">
        <v>4</v>
      </c>
      <c r="E1" s="2" t="s">
        <v>46</v>
      </c>
    </row>
    <row r="2" spans="1:5" x14ac:dyDescent="0.25">
      <c r="A2" s="2">
        <v>1</v>
      </c>
      <c r="B2" s="2">
        <v>70571</v>
      </c>
      <c r="C2" s="9">
        <v>46066</v>
      </c>
      <c r="D2" s="2">
        <v>6</v>
      </c>
      <c r="E2" s="2" t="s">
        <v>47</v>
      </c>
    </row>
    <row r="3" spans="1:5" x14ac:dyDescent="0.25">
      <c r="A3" s="2">
        <v>2</v>
      </c>
      <c r="B3" s="2">
        <v>70571</v>
      </c>
      <c r="C3" s="9">
        <v>46072</v>
      </c>
      <c r="D3" s="2">
        <v>6</v>
      </c>
      <c r="E3" s="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BD30-8E09-480B-AD1C-70D4D188832B}">
  <sheetPr codeName="Planilha6"/>
  <dimension ref="A1:L14"/>
  <sheetViews>
    <sheetView workbookViewId="0">
      <selection activeCell="L15" sqref="L15"/>
    </sheetView>
  </sheetViews>
  <sheetFormatPr defaultRowHeight="15" x14ac:dyDescent="0.25"/>
  <cols>
    <col min="1" max="2" width="9.140625" style="2"/>
    <col min="3" max="3" width="28.5703125" style="2" customWidth="1"/>
    <col min="4" max="16384" width="9.140625" style="2"/>
  </cols>
  <sheetData>
    <row r="1" spans="1:12" x14ac:dyDescent="0.25">
      <c r="A1" s="3" t="s">
        <v>27</v>
      </c>
      <c r="B1" s="7" t="s">
        <v>0</v>
      </c>
      <c r="C1" s="4" t="s">
        <v>1</v>
      </c>
    </row>
    <row r="2" spans="1:12" x14ac:dyDescent="0.25">
      <c r="A2" s="5">
        <v>1</v>
      </c>
      <c r="B2" s="8">
        <v>1</v>
      </c>
      <c r="C2" s="6" t="s">
        <v>28</v>
      </c>
    </row>
    <row r="3" spans="1:12" x14ac:dyDescent="0.25">
      <c r="A3" s="5">
        <v>2</v>
      </c>
      <c r="B3" s="8">
        <v>100</v>
      </c>
      <c r="C3" s="6" t="s">
        <v>29</v>
      </c>
    </row>
    <row r="4" spans="1:12" x14ac:dyDescent="0.25">
      <c r="A4" s="5">
        <v>3</v>
      </c>
      <c r="B4" s="8">
        <v>402</v>
      </c>
      <c r="C4" s="6" t="s">
        <v>30</v>
      </c>
    </row>
    <row r="5" spans="1:12" x14ac:dyDescent="0.25">
      <c r="A5" s="5">
        <v>4</v>
      </c>
      <c r="B5" s="8">
        <v>411</v>
      </c>
      <c r="C5" s="6" t="s">
        <v>31</v>
      </c>
    </row>
    <row r="6" spans="1:12" x14ac:dyDescent="0.25">
      <c r="A6" s="5">
        <v>5</v>
      </c>
      <c r="B6" s="8">
        <v>610</v>
      </c>
      <c r="C6" s="6" t="s">
        <v>32</v>
      </c>
    </row>
    <row r="7" spans="1:12" x14ac:dyDescent="0.25">
      <c r="A7" s="5">
        <v>6</v>
      </c>
      <c r="B7" s="8">
        <v>851</v>
      </c>
      <c r="C7" s="6" t="s">
        <v>33</v>
      </c>
    </row>
    <row r="8" spans="1:12" x14ac:dyDescent="0.25">
      <c r="A8" s="5">
        <v>7</v>
      </c>
      <c r="B8" s="8">
        <v>850</v>
      </c>
      <c r="C8" s="6" t="s">
        <v>34</v>
      </c>
    </row>
    <row r="9" spans="1:12" x14ac:dyDescent="0.25">
      <c r="A9" s="5">
        <v>8</v>
      </c>
      <c r="B9" s="8">
        <v>900</v>
      </c>
      <c r="C9" s="6" t="s">
        <v>35</v>
      </c>
    </row>
    <row r="10" spans="1:12" x14ac:dyDescent="0.25">
      <c r="A10" s="5">
        <v>9</v>
      </c>
      <c r="B10" s="8">
        <v>631</v>
      </c>
      <c r="C10" s="6" t="s">
        <v>36</v>
      </c>
      <c r="K10" s="2">
        <v>40</v>
      </c>
    </row>
    <row r="11" spans="1:12" x14ac:dyDescent="0.25">
      <c r="A11" s="5">
        <v>10</v>
      </c>
      <c r="B11" s="8">
        <v>403</v>
      </c>
      <c r="C11" s="6"/>
      <c r="K11" s="2">
        <v>160</v>
      </c>
    </row>
    <row r="12" spans="1:12" x14ac:dyDescent="0.25">
      <c r="A12" s="5">
        <v>11</v>
      </c>
      <c r="B12" s="8">
        <v>439</v>
      </c>
      <c r="C12" s="6" t="s">
        <v>37</v>
      </c>
      <c r="K12" s="2">
        <v>80</v>
      </c>
    </row>
    <row r="13" spans="1:12" x14ac:dyDescent="0.25">
      <c r="A13" s="5">
        <v>12</v>
      </c>
      <c r="B13" s="8">
        <v>864</v>
      </c>
      <c r="C13" s="6" t="s">
        <v>38</v>
      </c>
      <c r="K13" s="2">
        <v>62</v>
      </c>
    </row>
    <row r="14" spans="1:12" x14ac:dyDescent="0.25">
      <c r="A14" s="5">
        <v>13</v>
      </c>
      <c r="B14" s="8">
        <v>130</v>
      </c>
      <c r="C14" s="6" t="s">
        <v>41</v>
      </c>
      <c r="K14" s="2">
        <f>SUM(K10:K13)</f>
        <v>342</v>
      </c>
      <c r="L14" s="2">
        <f>K14-K10</f>
        <v>302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Metadata/LabelInfo.xml><?xml version="1.0" encoding="utf-8"?>
<clbl:labelList xmlns:clbl="http://schemas.microsoft.com/office/2020/mipLabelMetadata">
  <clbl:label id="{9ed9df57-6107-465f-b416-456b5ec3294b}" enabled="1" method="Privileged" siteId="{651b43ce-ccb8-4301-b551-b04dd872d40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Dashboard</vt:lpstr>
      <vt:lpstr>Demands</vt:lpstr>
      <vt:lpstr>Support</vt:lpstr>
      <vt:lpstr>Mrks</vt:lpstr>
      <vt:lpstr>Customers</vt:lpstr>
      <vt:lpstr>Hours</vt:lpstr>
      <vt:lpstr>Segments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Luis David Ferreira</cp:lastModifiedBy>
  <dcterms:created xsi:type="dcterms:W3CDTF">2026-03-27T01:54:53Z</dcterms:created>
  <dcterms:modified xsi:type="dcterms:W3CDTF">2026-06-01T20:27:10Z</dcterms:modified>
</cp:coreProperties>
</file>